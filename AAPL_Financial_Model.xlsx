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3-Stmt Linkage" sheetId="5" state="visible" r:id="rId5"/>
    <sheet xmlns:r="http://schemas.openxmlformats.org/officeDocument/2006/relationships" name="DCF Model" sheetId="6" state="visible" r:id="rId6"/>
    <sheet xmlns:r="http://schemas.openxmlformats.org/officeDocument/2006/relationships" name="WACC Calculation" sheetId="7" state="visible" r:id="rId7"/>
    <sheet xmlns:r="http://schemas.openxmlformats.org/officeDocument/2006/relationships" name="Trading Comps" sheetId="8" state="visible" r:id="rId8"/>
    <sheet xmlns:r="http://schemas.openxmlformats.org/officeDocument/2006/relationships" name="Valu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%;(0.0%);&quot;-&quot;"/>
    <numFmt numFmtId="166" formatCode="0.0&quot;x&quot;"/>
    <numFmt numFmtId="167" formatCode="0.0000"/>
    <numFmt numFmtId="168" formatCode="$#,##0.00"/>
    <numFmt numFmtId="169" formatCode="0.0000%"/>
    <numFmt numFmtId="170" formatCode="0.00000000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444444"/>
      <sz val="12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i val="1"/>
      <color rgb="00555555"/>
      <sz val="9"/>
    </font>
    <font>
      <name val="Arial"/>
      <color rgb="000000FF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i val="1"/>
      <color rgb="00008000"/>
      <sz val="9"/>
    </font>
    <font>
      <name val="Arial"/>
      <color rgb="00008000"/>
      <sz val="10"/>
    </font>
    <font>
      <name val="Arial"/>
      <color rgb="00555555"/>
      <sz val="9"/>
    </font>
    <font>
      <name val="Arial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DDFFDD"/>
      </patternFill>
    </fill>
    <fill>
      <patternFill patternType="solid">
        <fgColor rgb="00FFF3CC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top style="medium">
        <color rgb="002F5496"/>
      </top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6" borderId="2" pivotButton="0" quotePrefix="0" xfId="0"/>
    <xf numFmtId="0" fontId="0" fillId="6" borderId="2" pivotButton="0" quotePrefix="0" xfId="0"/>
    <xf numFmtId="0" fontId="5" fillId="0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64" fontId="7" fillId="5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8" fontId="0" fillId="3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right" vertical="center"/>
    </xf>
    <xf numFmtId="4" fontId="13" fillId="0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4" fontId="7" fillId="6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4" fontId="19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4" fontId="0" fillId="3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center" vertical="center"/>
    </xf>
    <xf numFmtId="168" fontId="7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2:H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2" ht="30" customHeight="1">
      <c r="A2" s="1" t="inlineStr">
        <is>
          <t>APPLE INC.</t>
        </is>
      </c>
    </row>
    <row r="3">
      <c r="A3" s="2" t="inlineStr">
        <is>
          <t>Three-Statement Financial Model + Valuation</t>
        </is>
      </c>
    </row>
    <row r="4">
      <c r="A4" s="3" t="inlineStr">
        <is>
          <t>Source: Yahoo Finance (yfinance)  |  Figures in $M unless stated</t>
        </is>
      </c>
    </row>
    <row r="6" ht="22" customHeight="1">
      <c r="A6" s="4" t="inlineStr">
        <is>
          <t>Color-Coding Legend</t>
        </is>
      </c>
    </row>
    <row r="7">
      <c r="A7" s="5" t="inlineStr">
        <is>
          <t>Blue text</t>
        </is>
      </c>
      <c r="B7" s="6" t="inlineStr">
        <is>
          <t>Hardcoded input</t>
        </is>
      </c>
    </row>
    <row r="8">
      <c r="A8" s="7" t="inlineStr">
        <is>
          <t>Black text</t>
        </is>
      </c>
      <c r="B8" s="6" t="inlineStr">
        <is>
          <t>Calculated formula</t>
        </is>
      </c>
    </row>
    <row r="9">
      <c r="A9" s="8" t="inlineStr">
        <is>
          <t>Green text</t>
        </is>
      </c>
      <c r="B9" s="6" t="inlineStr">
        <is>
          <t>Cross-sheet link</t>
        </is>
      </c>
    </row>
    <row r="10">
      <c r="A10" s="9" t="inlineStr">
        <is>
          <t>Light blue bg</t>
        </is>
      </c>
      <c r="B10" s="6" t="inlineStr">
        <is>
          <t>Key IS metric</t>
        </is>
      </c>
    </row>
    <row r="11">
      <c r="A11" s="10" t="inlineStr">
        <is>
          <t>Light green bg</t>
        </is>
      </c>
      <c r="B11" s="6" t="inlineStr">
        <is>
          <t>Key BS metric</t>
        </is>
      </c>
    </row>
    <row r="12">
      <c r="A12" s="11" t="inlineStr">
        <is>
          <t>Light amber bg</t>
        </is>
      </c>
      <c r="B12" s="6" t="inlineStr">
        <is>
          <t>Key CFS metric</t>
        </is>
      </c>
    </row>
    <row r="13">
      <c r="A13" s="12" t="inlineStr">
        <is>
          <t>Light gray bg</t>
        </is>
      </c>
      <c r="B13" s="6" t="inlineStr">
        <is>
          <t>Subtotal / total</t>
        </is>
      </c>
    </row>
    <row r="15" ht="22" customHeight="1">
      <c r="A15" s="13" t="inlineStr">
        <is>
          <t>Sheet Navigation</t>
        </is>
      </c>
    </row>
    <row r="16">
      <c r="A16" s="5" t="inlineStr">
        <is>
          <t>Income Statement</t>
        </is>
      </c>
      <c r="B16" s="6" t="inlineStr">
        <is>
          <t>Revenue → COGS → Gross Profit → EBIT → Net Income</t>
        </is>
      </c>
    </row>
    <row r="17">
      <c r="A17" s="5" t="inlineStr">
        <is>
          <t>Balance Sheet</t>
        </is>
      </c>
      <c r="B17" s="6" t="inlineStr">
        <is>
          <t>Assets = Liabilities + Equity</t>
        </is>
      </c>
    </row>
    <row r="18">
      <c r="A18" s="5" t="inlineStr">
        <is>
          <t>Cash Flow Statement</t>
        </is>
      </c>
      <c r="B18" s="6" t="inlineStr">
        <is>
          <t>Operating / Investing / Financing</t>
        </is>
      </c>
    </row>
    <row r="19">
      <c r="A19" s="5" t="inlineStr">
        <is>
          <t>3-Stmt Linkage</t>
        </is>
      </c>
      <c r="B19" s="6" t="inlineStr">
        <is>
          <t>Side-by-side cross-statement ties</t>
        </is>
      </c>
    </row>
    <row r="20">
      <c r="A20" s="5" t="inlineStr">
        <is>
          <t>DCF Model</t>
        </is>
      </c>
      <c r="B20" s="6" t="inlineStr">
        <is>
          <t>5-Year UFCF projection + Terminal Value</t>
        </is>
      </c>
    </row>
    <row r="21">
      <c r="A21" s="5" t="inlineStr">
        <is>
          <t>WACC Calculation</t>
        </is>
      </c>
      <c r="B21" s="6" t="inlineStr">
        <is>
          <t>CAPM cost of equity + after-tax cost of debt</t>
        </is>
      </c>
    </row>
    <row r="22">
      <c r="A22" s="5" t="inlineStr">
        <is>
          <t>Trading Comps</t>
        </is>
      </c>
      <c r="B22" s="6" t="inlineStr">
        <is>
          <t>Peer EV/EBITDA, EV/Rev, P/E multiples</t>
        </is>
      </c>
    </row>
    <row r="23">
      <c r="A23" s="5" t="inlineStr">
        <is>
          <t>Valuation Summary</t>
        </is>
      </c>
      <c r="B23" s="6" t="inlineStr">
        <is>
          <t>Football field — blended implied price</t>
        </is>
      </c>
    </row>
  </sheetData>
  <mergeCells count="5">
    <mergeCell ref="A15:H15"/>
    <mergeCell ref="A4:D4"/>
    <mergeCell ref="A3:D3"/>
    <mergeCell ref="A2:D2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6" customWidth="1" min="5" max="5"/>
    <col width="36" customWidth="1" min="6" max="6"/>
  </cols>
  <sheetData>
    <row r="1" ht="22" customHeight="1">
      <c r="A1" s="4" t="inlineStr">
        <is>
          <t>APPLE INC. — INCOME STATEMENT</t>
        </is>
      </c>
    </row>
    <row r="2">
      <c r="A2" s="14" t="inlineStr">
        <is>
          <t>Fiscal Year | $M</t>
        </is>
      </c>
    </row>
    <row r="3" ht="16" customHeight="1">
      <c r="B3" s="15" t="inlineStr">
        <is>
          <t>2025</t>
        </is>
      </c>
      <c r="C3" s="15" t="inlineStr">
        <is>
          <t>% of Rev</t>
        </is>
      </c>
      <c r="D3" s="15" t="inlineStr">
        <is>
          <t>YoY Δ ($M)</t>
        </is>
      </c>
      <c r="E3" s="15" t="inlineStr">
        <is>
          <t>2024</t>
        </is>
      </c>
      <c r="F3" s="15" t="inlineStr">
        <is>
          <t>Notes</t>
        </is>
      </c>
    </row>
    <row r="4" ht="15" customHeight="1">
      <c r="A4" s="16" t="inlineStr">
        <is>
          <t xml:space="preserve">  REVENUE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A5" s="18" t="inlineStr">
        <is>
          <t>Total Net Revenue</t>
        </is>
      </c>
      <c r="B5" s="19" t="n">
        <v>416161</v>
      </c>
      <c r="C5" s="20" t="n">
        <v>1</v>
      </c>
      <c r="D5" s="21" t="n">
        <v>25126</v>
      </c>
      <c r="E5" s="21" t="n">
        <v>391035</v>
      </c>
      <c r="F5" s="22" t="inlineStr">
        <is>
          <t>Source: Yahoo Finance — Total Revenue</t>
        </is>
      </c>
    </row>
    <row r="6" ht="15" customHeight="1">
      <c r="A6" s="16" t="inlineStr">
        <is>
          <t xml:space="preserve">  COST OF GOODS SOLD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23" t="inlineStr">
        <is>
          <t>Total COGS</t>
        </is>
      </c>
      <c r="B7" s="24" t="n">
        <v>220960</v>
      </c>
      <c r="C7" s="25">
        <f>B7/B5</f>
        <v/>
      </c>
      <c r="D7" s="26" t="n">
        <v>10608</v>
      </c>
      <c r="E7" s="26" t="n">
        <v>210352</v>
      </c>
      <c r="F7" s="22" t="inlineStr">
        <is>
          <t>Direct cost of goods sold; gross margin = 1 − COGS/Revenue</t>
        </is>
      </c>
    </row>
    <row r="8">
      <c r="A8" s="27" t="inlineStr">
        <is>
          <t>GROSS PROFIT</t>
        </is>
      </c>
      <c r="B8" s="19">
        <f>B5-B7</f>
        <v/>
      </c>
      <c r="C8" s="20">
        <f>B8/B5</f>
        <v/>
      </c>
      <c r="D8" s="21" t="n">
        <v>14518</v>
      </c>
      <c r="E8" s="21" t="n">
        <v>180683</v>
      </c>
      <c r="F8" s="22">
        <f> Revenue − COGS; key profitability metric before operating expenses</f>
        <v/>
      </c>
    </row>
    <row r="9" ht="15" customHeight="1">
      <c r="A9" s="16" t="inlineStr">
        <is>
          <t xml:space="preserve">  OPERATING EXPENSES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23" t="inlineStr">
        <is>
          <t>Research &amp; Development</t>
        </is>
      </c>
      <c r="B10" s="26" t="n">
        <v>34550</v>
      </c>
      <c r="C10" s="25">
        <f>B10/B5</f>
        <v/>
      </c>
      <c r="D10" s="26" t="n">
        <v>3180</v>
      </c>
      <c r="E10" s="26" t="n">
        <v>31370</v>
      </c>
      <c r="F10" s="22" t="inlineStr">
        <is>
          <t>Investment in future products, services, and technologies</t>
        </is>
      </c>
    </row>
    <row r="11">
      <c r="A11" s="23" t="inlineStr">
        <is>
          <t>Selling, General &amp; Administrative</t>
        </is>
      </c>
      <c r="B11" s="26" t="n">
        <v>27601</v>
      </c>
      <c r="C11" s="25">
        <f>B11/B5</f>
        <v/>
      </c>
      <c r="D11" s="26" t="n">
        <v>1504</v>
      </c>
      <c r="E11" s="26" t="n">
        <v>26097</v>
      </c>
      <c r="F11" s="22" t="inlineStr">
        <is>
          <t>Sales, marketing, and general &amp; administrative overhead</t>
        </is>
      </c>
    </row>
    <row r="12">
      <c r="A12" s="27" t="inlineStr">
        <is>
          <t>Total Operating Expenses</t>
        </is>
      </c>
      <c r="B12" s="28">
        <f>B10+B11</f>
        <v/>
      </c>
      <c r="C12" s="20">
        <f>B12/B5</f>
        <v/>
      </c>
      <c r="D12" s="21">
        <f>D10+D11</f>
        <v/>
      </c>
      <c r="E12" s="21">
        <f>E10+E11</f>
        <v/>
      </c>
      <c r="F12" s="22">
        <f> R&amp;D + SG&amp;A; total cash operating expenses below the gross profit line</f>
        <v/>
      </c>
    </row>
    <row r="13">
      <c r="A13" s="27" t="inlineStr">
        <is>
          <t>OPERATING INCOME (EBIT)</t>
        </is>
      </c>
      <c r="B13" s="19">
        <f>B8-B12</f>
        <v/>
      </c>
      <c r="C13" s="20">
        <f>B13/B5</f>
        <v/>
      </c>
      <c r="D13" s="21" t="n">
        <v>9834</v>
      </c>
      <c r="E13" s="21" t="n">
        <v>123216</v>
      </c>
      <c r="F13" s="22">
        <f> Gross Profit − OpEx; earnings before interest &amp; tax; key driver of DCF</f>
        <v/>
      </c>
    </row>
    <row r="14" ht="15" customHeight="1">
      <c r="A14" s="16" t="inlineStr">
        <is>
          <t xml:space="preserve">  BELOW-THE-LINE ITEMS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23" t="inlineStr">
        <is>
          <t>Interest &amp; Other Income, net</t>
        </is>
      </c>
      <c r="B15" s="26" t="n">
        <v>-321</v>
      </c>
      <c r="C15" s="25">
        <f>B15/B5</f>
        <v/>
      </c>
      <c r="D15" s="26" t="n">
        <v>-590</v>
      </c>
      <c r="E15" s="26" t="n">
        <v>269</v>
      </c>
      <c r="F15" s="22" t="inlineStr">
        <is>
          <t>Net interest income/(expense); large cash pile makes this positive for Apple</t>
        </is>
      </c>
    </row>
    <row r="16">
      <c r="A16" s="27" t="inlineStr">
        <is>
          <t>Pre-Tax Income (EBT)</t>
        </is>
      </c>
      <c r="B16" s="28">
        <f>B13+B15</f>
        <v/>
      </c>
      <c r="C16" s="20">
        <f>B16/B5</f>
        <v/>
      </c>
      <c r="D16" s="21">
        <f>B16-E16</f>
        <v/>
      </c>
      <c r="E16" s="21" t="n">
        <v>123485</v>
      </c>
      <c r="F16" s="22">
        <f> EBIT + Net Interest; taxable income base before applying the effective tax rate</f>
        <v/>
      </c>
    </row>
    <row r="17">
      <c r="A17" s="23" t="inlineStr">
        <is>
          <t>Income Tax Expense</t>
        </is>
      </c>
      <c r="B17" s="26" t="n">
        <v>-20719</v>
      </c>
      <c r="C17" s="25">
        <f>B17/B5</f>
        <v/>
      </c>
      <c r="D17" s="26">
        <f>B17-E17</f>
        <v/>
      </c>
      <c r="E17" s="26" t="n">
        <v>-29749</v>
      </c>
      <c r="F17" s="22" t="inlineStr">
        <is>
          <t>Provision for income taxes; shown as negative (cash outflow to taxing authorities)</t>
        </is>
      </c>
    </row>
    <row r="18">
      <c r="A18" s="29" t="inlineStr">
        <is>
          <t>Effective Tax Rate</t>
        </is>
      </c>
      <c r="B18" s="25">
        <f>ABS(B17)/B16</f>
        <v/>
      </c>
      <c r="E18" s="25">
        <f>ABS(E17)/E16</f>
        <v/>
      </c>
    </row>
    <row r="19">
      <c r="A19" s="30" t="inlineStr">
        <is>
          <t>NET INCOME</t>
        </is>
      </c>
      <c r="B19" s="19">
        <f>B16+B17</f>
        <v/>
      </c>
      <c r="C19" s="20">
        <f>B19/B5</f>
        <v/>
      </c>
      <c r="D19" s="21" t="n">
        <v>18274</v>
      </c>
      <c r="E19" s="21" t="n">
        <v>93736</v>
      </c>
      <c r="F19" s="31" t="inlineStr">
        <is>
          <t>↓ Flows to Retained Earnings (BS) and CFS starting line</t>
        </is>
      </c>
    </row>
    <row r="21" ht="15" customHeight="1">
      <c r="A21" s="16" t="inlineStr">
        <is>
          <t xml:space="preserve">  EBITDA BRIDGE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32" t="inlineStr">
        <is>
          <t>EBIT (Operating Income)</t>
        </is>
      </c>
      <c r="B22" s="33">
        <f>B13</f>
        <v/>
      </c>
      <c r="C22" s="25">
        <f>B22/B5</f>
        <v/>
      </c>
      <c r="D22" s="26" t="n">
        <v>9834</v>
      </c>
      <c r="E22" s="33" t="n">
        <v>123216</v>
      </c>
    </row>
    <row r="23">
      <c r="A23" s="23" t="inlineStr">
        <is>
          <t>Add: Depreciation &amp; Amortisation</t>
        </is>
      </c>
      <c r="B23" s="26" t="n">
        <v>11698</v>
      </c>
      <c r="C23" s="25">
        <f>B23/B5</f>
        <v/>
      </c>
      <c r="D23" s="26" t="n">
        <v>253</v>
      </c>
      <c r="E23" s="26" t="n">
        <v>11445</v>
      </c>
      <c r="F23" s="22" t="inlineStr">
        <is>
          <t>Non-cash charge; reduces reported earnings but not a cash outflow</t>
        </is>
      </c>
    </row>
    <row r="24">
      <c r="A24" s="27" t="inlineStr">
        <is>
          <t>EBITDA</t>
        </is>
      </c>
      <c r="B24" s="19">
        <f>B22+B23</f>
        <v/>
      </c>
      <c r="C24" s="20">
        <f>B24/B5</f>
        <v/>
      </c>
      <c r="D24" s="21" t="n">
        <v>10087</v>
      </c>
      <c r="E24" s="19" t="n">
        <v>134661</v>
      </c>
      <c r="F24" s="22">
        <f> EBIT + D&amp;A; proxy for operating cash flow; used in EV/EBITDA valuation</f>
        <v/>
      </c>
    </row>
    <row r="26" ht="15" customHeight="1">
      <c r="A26" s="16" t="inlineStr">
        <is>
          <t xml:space="preserve">  KEY METRICS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23" t="inlineStr">
        <is>
          <t>Diluted Shares Outstanding (M)</t>
        </is>
      </c>
      <c r="B27" s="34" t="n">
        <v>14687.356</v>
      </c>
      <c r="F27" s="22" t="inlineStr">
        <is>
          <t>Diluted count includes vested options and unvested RSUs; source: Yahoo Finance</t>
        </is>
      </c>
    </row>
    <row r="28">
      <c r="A28" s="32" t="inlineStr">
        <is>
          <t>Gross Margin %</t>
        </is>
      </c>
      <c r="B28" s="25">
        <f>B8/B5</f>
        <v/>
      </c>
    </row>
    <row r="29">
      <c r="A29" s="32" t="inlineStr">
        <is>
          <t>EBIT Margin %</t>
        </is>
      </c>
      <c r="B29" s="25">
        <f>B13/B5</f>
        <v/>
      </c>
    </row>
    <row r="30">
      <c r="A30" s="32" t="inlineStr">
        <is>
          <t>EBITDA Margin %</t>
        </is>
      </c>
      <c r="B30" s="25">
        <f>B24/B5</f>
        <v/>
      </c>
    </row>
    <row r="31">
      <c r="A31" s="32" t="inlineStr">
        <is>
          <t>Net Margin %</t>
        </is>
      </c>
      <c r="B31" s="25">
        <f>B19/B5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375E"/>
    <outlinePr summaryBelow="1" summaryRight="1"/>
    <pageSetUpPr/>
  </sheetPr>
  <dimension ref="A1:M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36" customWidth="1" min="5" max="5"/>
  </cols>
  <sheetData>
    <row r="1" ht="22" customHeight="1">
      <c r="A1" s="4" t="inlineStr">
        <is>
          <t>APPLE INC. — BALANCE SHEET</t>
        </is>
      </c>
    </row>
    <row r="2">
      <c r="A2" s="14" t="inlineStr">
        <is>
          <t>$M</t>
        </is>
      </c>
    </row>
    <row r="3" ht="16" customHeight="1">
      <c r="B3" s="15" t="inlineStr">
        <is>
          <t>2025</t>
        </is>
      </c>
      <c r="C3" s="15" t="inlineStr">
        <is>
          <t>2024</t>
        </is>
      </c>
      <c r="D3" s="15" t="inlineStr">
        <is>
          <t>Change ($M)</t>
        </is>
      </c>
      <c r="E3" s="15" t="inlineStr">
        <is>
          <t>Notes</t>
        </is>
      </c>
    </row>
    <row r="4" ht="15" customHeight="1">
      <c r="A4" s="16" t="inlineStr">
        <is>
          <t xml:space="preserve">  ASSETS — CURRENT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A5" s="23" t="inlineStr">
        <is>
          <t>Cash and Cash Equivalents</t>
        </is>
      </c>
      <c r="B5" s="35" t="n">
        <v>35934</v>
      </c>
      <c r="C5" s="26" t="n">
        <v>29943</v>
      </c>
      <c r="D5" s="26">
        <f>B5-C5</f>
        <v/>
      </c>
      <c r="E5" s="22" t="inlineStr">
        <is>
          <t>Ties to CFS ending balance ↑</t>
        </is>
      </c>
    </row>
    <row r="6">
      <c r="A6" s="23" t="inlineStr">
        <is>
          <t>Marketable Securities (short-term)</t>
        </is>
      </c>
      <c r="B6" s="26" t="n">
        <v>18763</v>
      </c>
      <c r="C6" s="26" t="n">
        <v>35228</v>
      </c>
      <c r="D6" s="26">
        <f>B6-C6</f>
        <v/>
      </c>
      <c r="E6" s="22" t="inlineStr">
        <is>
          <t>Short-term investment portfolio; liquid; part of Apple's capital return strategy</t>
        </is>
      </c>
    </row>
    <row r="7">
      <c r="A7" s="23" t="inlineStr">
        <is>
          <t>Accounts Receivable, net</t>
        </is>
      </c>
      <c r="B7" s="26" t="n">
        <v>72957</v>
      </c>
      <c r="C7" s="26" t="n">
        <v>66243</v>
      </c>
      <c r="D7" s="26">
        <f>B7-C7</f>
        <v/>
      </c>
      <c r="E7" s="22" t="inlineStr">
        <is>
          <t>Amounts owed by customers; watch DSO trend for collection efficiency</t>
        </is>
      </c>
    </row>
    <row r="8">
      <c r="A8" s="23" t="inlineStr">
        <is>
          <t>Inventories</t>
        </is>
      </c>
      <c r="B8" s="26" t="n">
        <v>5718</v>
      </c>
      <c r="C8" s="26" t="n">
        <v>7286</v>
      </c>
      <c r="D8" s="26">
        <f>B8-C8</f>
        <v/>
      </c>
      <c r="E8" s="22" t="inlineStr">
        <is>
          <t>Finished goods held for sale; Apple runs lean inventory (low days)</t>
        </is>
      </c>
    </row>
    <row r="9">
      <c r="A9" s="23" t="inlineStr">
        <is>
          <t>Other Current Assets</t>
        </is>
      </c>
      <c r="B9" s="26" t="n">
        <v>14585</v>
      </c>
      <c r="C9" s="26" t="n">
        <v>14287</v>
      </c>
      <c r="D9" s="26">
        <f>B9-C9</f>
        <v/>
      </c>
      <c r="E9" s="22" t="inlineStr">
        <is>
          <t>Prepaid expenses, vendor non-trade receivables, and other short-term items</t>
        </is>
      </c>
    </row>
    <row r="10">
      <c r="A10" s="27" t="inlineStr">
        <is>
          <t>Total Current Assets</t>
        </is>
      </c>
      <c r="B10" s="28">
        <f>SUM(B5:B9)</f>
        <v/>
      </c>
      <c r="C10" s="21">
        <f>SUM(C5:C9)</f>
        <v/>
      </c>
      <c r="D10" s="21">
        <f>B10-C10</f>
        <v/>
      </c>
    </row>
    <row r="11" ht="15" customHeight="1">
      <c r="A11" s="16" t="inlineStr">
        <is>
          <t xml:space="preserve">  NON-CURRENT ASSETS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23" t="inlineStr">
        <is>
          <t>Marketable Securities (long-term)</t>
        </is>
      </c>
      <c r="B12" s="26" t="n">
        <v>77723</v>
      </c>
      <c r="C12" s="26" t="n">
        <v>91479</v>
      </c>
      <c r="D12" s="26">
        <f>B12-C12</f>
        <v/>
      </c>
      <c r="E12" s="22" t="inlineStr">
        <is>
          <t>Long-term AFS portfolio at fair value; unrealized gains in OCI</t>
        </is>
      </c>
    </row>
    <row r="13">
      <c r="A13" s="23" t="inlineStr">
        <is>
          <t>Property, Plant &amp; Equipment, net</t>
        </is>
      </c>
      <c r="B13" s="26" t="n">
        <v>49834</v>
      </c>
      <c r="C13" s="26" t="n">
        <v>45680</v>
      </c>
      <c r="D13" s="26">
        <f>B13-C13</f>
        <v/>
      </c>
      <c r="E13" s="22" t="inlineStr">
        <is>
          <t>Gross PP&amp;E less accumulated depreciation; CapEx increases, D&amp;A decreases this</t>
        </is>
      </c>
    </row>
    <row r="14">
      <c r="A14" s="23" t="inlineStr">
        <is>
          <t>Other Non-Current Assets</t>
        </is>
      </c>
      <c r="B14" s="26" t="n">
        <v>62950</v>
      </c>
      <c r="C14" s="26" t="n">
        <v>55335</v>
      </c>
      <c r="D14" s="26">
        <f>B14-C14</f>
        <v/>
      </c>
      <c r="E14" s="22" t="inlineStr">
        <is>
          <t>Deferred tax assets, intangibles, lease right-of-use assets, and other long-term items</t>
        </is>
      </c>
    </row>
    <row r="15">
      <c r="A15" s="27" t="inlineStr">
        <is>
          <t>Total Non-Current Assets</t>
        </is>
      </c>
      <c r="B15" s="28">
        <f>SUM(B12:B14)</f>
        <v/>
      </c>
      <c r="C15" s="21">
        <f>SUM(C12:C14)</f>
        <v/>
      </c>
      <c r="D15" s="21">
        <f>B15-C15</f>
        <v/>
      </c>
    </row>
    <row r="16">
      <c r="A16" s="30" t="inlineStr">
        <is>
          <t>TOTAL ASSETS</t>
        </is>
      </c>
      <c r="B16" s="36">
        <f>B10+B15</f>
        <v/>
      </c>
      <c r="C16" s="36">
        <f>C10+C15</f>
        <v/>
      </c>
      <c r="D16" s="21">
        <f>B16-C16</f>
        <v/>
      </c>
    </row>
    <row r="18" ht="15" customHeight="1">
      <c r="A18" s="16" t="inlineStr">
        <is>
          <t xml:space="preserve">  LIABILITIES — CURRENT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23" t="inlineStr">
        <is>
          <t>Accounts Payable</t>
        </is>
      </c>
      <c r="B19" s="26" t="n">
        <v>82876</v>
      </c>
      <c r="C19" s="26" t="n">
        <v>95561</v>
      </c>
      <c r="D19" s="26">
        <f>B19-C19</f>
        <v/>
      </c>
      <c r="E19" s="22" t="inlineStr">
        <is>
          <t>Amounts owed to suppliers; rising AP is a source of cash (interest-free financing)</t>
        </is>
      </c>
    </row>
    <row r="20">
      <c r="A20" s="23" t="inlineStr">
        <is>
          <t>Deferred Revenue (short-term)</t>
        </is>
      </c>
      <c r="B20" s="26" t="n">
        <v>9055</v>
      </c>
      <c r="C20" s="26" t="n">
        <v>8249</v>
      </c>
      <c r="D20" s="26">
        <f>B20-C20</f>
        <v/>
      </c>
      <c r="E20" s="22" t="inlineStr">
        <is>
          <t>Unearned service revenue (e.g. AppleCare, iCloud, App Store subscriptions)</t>
        </is>
      </c>
    </row>
    <row r="21">
      <c r="A21" s="23" t="inlineStr">
        <is>
          <t>Current Portion of Long-Term Debt</t>
        </is>
      </c>
      <c r="B21" s="26" t="n">
        <v>20329</v>
      </c>
      <c r="C21" s="26" t="n">
        <v>20879</v>
      </c>
      <c r="D21" s="26">
        <f>B21-C21</f>
        <v/>
      </c>
      <c r="E21" s="22" t="inlineStr">
        <is>
          <t>LTD maturing within 12 months; monitor for refinancing needs</t>
        </is>
      </c>
    </row>
    <row r="22">
      <c r="A22" s="23" t="inlineStr">
        <is>
          <t>Other Current Liabilities</t>
        </is>
      </c>
      <c r="B22" s="26" t="n">
        <v>44452</v>
      </c>
      <c r="C22" s="26" t="n">
        <v>44024</v>
      </c>
      <c r="D22" s="26">
        <f>B22-C22</f>
        <v/>
      </c>
      <c r="E22" s="22" t="inlineStr">
        <is>
          <t>Accrued expenses, taxes payable, and other short-term obligations</t>
        </is>
      </c>
    </row>
    <row r="23">
      <c r="A23" s="27" t="inlineStr">
        <is>
          <t>Total Current Liabilities</t>
        </is>
      </c>
      <c r="B23" s="28">
        <f>SUM(B19:B22)</f>
        <v/>
      </c>
      <c r="C23" s="21">
        <f>SUM(C19:C22)</f>
        <v/>
      </c>
      <c r="D23" s="21">
        <f>B23-C23</f>
        <v/>
      </c>
    </row>
    <row r="24" ht="15" customHeight="1">
      <c r="A24" s="16" t="inlineStr">
        <is>
          <t xml:space="preserve">  NON-CURRENT LIABILITIES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23" t="inlineStr">
        <is>
          <t>Long-Term Debt</t>
        </is>
      </c>
      <c r="B25" s="26" t="n">
        <v>78328</v>
      </c>
      <c r="C25" s="26" t="n">
        <v>85750</v>
      </c>
      <c r="D25" s="26">
        <f>B25-C25</f>
        <v/>
      </c>
      <c r="E25" s="22" t="inlineStr">
        <is>
          <t>Bonds payable due &gt; 1 year; Apple uses debt cheaply to fund buybacks and dividends</t>
        </is>
      </c>
    </row>
    <row r="26">
      <c r="A26" s="23" t="inlineStr">
        <is>
          <t>Other Non-Current Liabilities</t>
        </is>
      </c>
      <c r="B26" s="26" t="n">
        <v>41549</v>
      </c>
      <c r="C26" s="26" t="n">
        <v>45888</v>
      </c>
      <c r="D26" s="26">
        <f>B26-C26</f>
        <v/>
      </c>
      <c r="E26" s="22" t="inlineStr">
        <is>
          <t>Long-term deferred tax liabilities, lease obligations, and other long-dated obligations</t>
        </is>
      </c>
    </row>
    <row r="27">
      <c r="A27" s="27" t="inlineStr">
        <is>
          <t>Total Non-Current Liabilities</t>
        </is>
      </c>
      <c r="B27" s="28">
        <f>SUM(B25:B26)</f>
        <v/>
      </c>
      <c r="C27" s="21">
        <f>SUM(C25:C26)</f>
        <v/>
      </c>
      <c r="D27" s="21">
        <f>B27-C27</f>
        <v/>
      </c>
    </row>
    <row r="28">
      <c r="A28" s="30" t="inlineStr">
        <is>
          <t>TOTAL LIABILITIES</t>
        </is>
      </c>
      <c r="B28" s="28">
        <f>B23+B27</f>
        <v/>
      </c>
      <c r="C28" s="21">
        <f>C23+C27</f>
        <v/>
      </c>
      <c r="D28" s="21">
        <f>B28-C28</f>
        <v/>
      </c>
    </row>
    <row r="30" ht="15" customHeight="1">
      <c r="A30" s="16" t="inlineStr">
        <is>
          <t xml:space="preserve">  SHAREHOLDERS' EQUITY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23" t="inlineStr">
        <is>
          <t>Common Stock &amp; APIC</t>
        </is>
      </c>
      <c r="B31" s="26" t="n">
        <v>73733</v>
      </c>
      <c r="C31" s="26" t="n">
        <v>56950</v>
      </c>
      <c r="D31" s="26">
        <f>B31-C31</f>
        <v/>
      </c>
      <c r="E31" s="22" t="inlineStr">
        <is>
          <t>Par value + additional paid-in capital; reduced by share buybacks over time</t>
        </is>
      </c>
    </row>
    <row r="32">
      <c r="A32" s="37" t="inlineStr">
        <is>
          <t>Retained Earnings</t>
        </is>
      </c>
      <c r="B32" s="26" t="n">
        <v>-14264</v>
      </c>
      <c r="C32" s="26" t="n">
        <v>-19154</v>
      </c>
      <c r="D32" s="26">
        <f>B32-C32</f>
        <v/>
      </c>
      <c r="E32" s="22" t="inlineStr">
        <is>
          <t>Links: Prior RE + Net Income – Dividends; accumulates lifetime earnings</t>
        </is>
      </c>
    </row>
    <row r="33">
      <c r="A33" s="23" t="inlineStr">
        <is>
          <t>Accumulated OCI</t>
        </is>
      </c>
      <c r="B33" s="26" t="n">
        <v>-5571</v>
      </c>
      <c r="C33" s="26" t="n">
        <v>-7172</v>
      </c>
      <c r="D33" s="26">
        <f>B33-C33</f>
        <v/>
      </c>
      <c r="E33" s="22" t="inlineStr">
        <is>
          <t>Unrealized gains/losses on AFS securities and hedging instruments</t>
        </is>
      </c>
    </row>
    <row r="34">
      <c r="A34" s="30" t="inlineStr">
        <is>
          <t>TOTAL SHAREHOLDERS' EQUITY</t>
        </is>
      </c>
      <c r="B34" s="36">
        <f>SUM(B31:B33)</f>
        <v/>
      </c>
      <c r="C34" s="36">
        <f>SUM(C31:C33)</f>
        <v/>
      </c>
      <c r="D34" s="21">
        <f>B34-C34</f>
        <v/>
      </c>
    </row>
    <row r="36">
      <c r="A36" s="27" t="inlineStr">
        <is>
          <t>TOTAL LIABILITIES + EQUITY</t>
        </is>
      </c>
      <c r="B36" s="36">
        <f>B28+B34</f>
        <v/>
      </c>
      <c r="C36" s="36">
        <f>C28+C34</f>
        <v/>
      </c>
    </row>
    <row r="37">
      <c r="A37" s="29" t="inlineStr">
        <is>
          <t>Balance Check (Assets – L+E)</t>
        </is>
      </c>
      <c r="B37" s="26">
        <f>B16-B36</f>
        <v/>
      </c>
      <c r="E37" s="22" t="inlineStr">
        <is>
          <t>Should be $0 / "✓ BALANCED"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74706"/>
    <outlinePr summaryBelow="1" summaryRight="1"/>
    <pageSetUpPr/>
  </sheetPr>
  <dimension ref="A1:M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36" customWidth="1" min="5" max="5"/>
  </cols>
  <sheetData>
    <row r="1" ht="22" customHeight="1">
      <c r="A1" s="4" t="inlineStr">
        <is>
          <t>APPLE INC. — CASH FLOW STATEMENT</t>
        </is>
      </c>
    </row>
    <row r="2">
      <c r="A2" s="14" t="inlineStr">
        <is>
          <t>$M | Indirect Method</t>
        </is>
      </c>
    </row>
    <row r="3" ht="16" customHeight="1">
      <c r="B3" s="15" t="inlineStr">
        <is>
          <t>2025</t>
        </is>
      </c>
      <c r="C3" s="15" t="inlineStr">
        <is>
          <t>2024</t>
        </is>
      </c>
      <c r="D3" s="15" t="inlineStr">
        <is>
          <t>Change ($M)</t>
        </is>
      </c>
      <c r="E3" s="15" t="inlineStr">
        <is>
          <t>Notes</t>
        </is>
      </c>
    </row>
    <row r="4" ht="15" customHeight="1">
      <c r="A4" s="16" t="inlineStr">
        <is>
          <t xml:space="preserve">  SECTION 1: OPERATING ACTIVITIES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A5" s="37" t="inlineStr">
        <is>
          <t>Net Income (from Income Statement)</t>
        </is>
      </c>
      <c r="B5" s="26" t="n">
        <v>112010</v>
      </c>
      <c r="C5" s="26" t="n">
        <v>93736</v>
      </c>
      <c r="D5" s="26">
        <f>B5-C5</f>
        <v/>
      </c>
      <c r="E5" s="31" t="inlineStr">
        <is>
          <t>↑ Links FROM Income Statement</t>
        </is>
      </c>
    </row>
    <row r="6">
      <c r="A6" s="23" t="inlineStr">
        <is>
          <t>+ Depreciation &amp; Amortisation</t>
        </is>
      </c>
      <c r="B6" s="26" t="n">
        <v>11698</v>
      </c>
      <c r="C6" s="26" t="n">
        <v>11445</v>
      </c>
      <c r="D6" s="26">
        <f>B6-C6</f>
        <v/>
      </c>
      <c r="E6" s="22" t="inlineStr">
        <is>
          <t>Non-cash charge; reduces IS earnings but not a cash outflow — added back here</t>
        </is>
      </c>
    </row>
    <row r="7">
      <c r="A7" s="23" t="inlineStr">
        <is>
          <t>+ Stock-Based Compensation</t>
        </is>
      </c>
      <c r="B7" s="26" t="n">
        <v>12863</v>
      </c>
      <c r="C7" s="26" t="n">
        <v>11688</v>
      </c>
      <c r="D7" s="26">
        <f>B7-C7</f>
        <v/>
      </c>
      <c r="E7" s="22" t="inlineStr">
        <is>
          <t>Non-cash equity comp expense; dilutes shareholders but has no cash impact</t>
        </is>
      </c>
    </row>
    <row r="8">
      <c r="A8" s="23" t="inlineStr">
        <is>
          <t>Working Capital &amp; Other Changes</t>
        </is>
      </c>
      <c r="B8" s="26" t="n">
        <v>-25000</v>
      </c>
      <c r="C8" s="26" t="n">
        <v>3651</v>
      </c>
      <c r="D8" s="26">
        <f>B8-C8</f>
        <v/>
      </c>
      <c r="E8" s="22" t="inlineStr"/>
    </row>
    <row r="9">
      <c r="A9" s="27" t="inlineStr">
        <is>
          <t>CASH FROM OPERATING ACTIVITIES</t>
        </is>
      </c>
      <c r="B9" s="38" t="n">
        <v>111482</v>
      </c>
      <c r="C9" s="21" t="n">
        <v>118254</v>
      </c>
      <c r="D9" s="21">
        <f>B9-C9</f>
        <v/>
      </c>
    </row>
    <row r="11" ht="15" customHeight="1">
      <c r="A11" s="16" t="inlineStr">
        <is>
          <t xml:space="preserve">  SECTION 2: INVESTING ACTIVITIES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23" t="inlineStr">
        <is>
          <t>– Capital Expenditure (CapEx)</t>
        </is>
      </c>
      <c r="B12" s="26" t="n">
        <v>-12715</v>
      </c>
      <c r="C12" s="26" t="n">
        <v>-9447</v>
      </c>
      <c r="D12" s="26">
        <f>B12-C12</f>
        <v/>
      </c>
      <c r="E12" s="22" t="inlineStr">
        <is>
          <t>Investment in PP&amp;E; ties to PP&amp;E on BS; FCF = Operating CF − CapEx</t>
        </is>
      </c>
    </row>
    <row r="13">
      <c r="A13" s="23" t="inlineStr">
        <is>
          <t>Other Investing Activities (net)</t>
        </is>
      </c>
      <c r="B13" s="26" t="n">
        <v>27910</v>
      </c>
      <c r="C13" s="26" t="n">
        <v>12382</v>
      </c>
      <c r="D13" s="26">
        <f>B13-C13</f>
        <v/>
      </c>
      <c r="E13" s="22" t="inlineStr">
        <is>
          <t>Net proceeds from securities purchases/sales and other investing items</t>
        </is>
      </c>
    </row>
    <row r="14">
      <c r="A14" s="27" t="inlineStr">
        <is>
          <t>CASH FROM INVESTING ACTIVITIES</t>
        </is>
      </c>
      <c r="B14" s="38">
        <f>B12+B13</f>
        <v/>
      </c>
      <c r="C14" s="21" t="n">
        <v>2935</v>
      </c>
      <c r="D14" s="21">
        <f>B14-C14</f>
        <v/>
      </c>
    </row>
    <row r="16" ht="15" customHeight="1">
      <c r="A16" s="16" t="inlineStr">
        <is>
          <t xml:space="preserve">  SECTION 3: FINANCING ACTIVITIES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23" t="inlineStr">
        <is>
          <t>– Dividends Paid</t>
        </is>
      </c>
      <c r="B17" s="26" t="n">
        <v>-15421</v>
      </c>
      <c r="C17" s="26" t="n">
        <v>-15234</v>
      </c>
      <c r="D17" s="26">
        <f>B17-C17</f>
        <v/>
      </c>
      <c r="E17" s="22" t="inlineStr">
        <is>
          <t>Cash returned to shareholders via regular quarterly dividend</t>
        </is>
      </c>
    </row>
    <row r="18">
      <c r="A18" s="23" t="inlineStr">
        <is>
          <t>– Repurchase of Common Stock (Buybacks)</t>
        </is>
      </c>
      <c r="B18" s="26" t="n">
        <v>-90711</v>
      </c>
      <c r="C18" s="26" t="n">
        <v>-94949</v>
      </c>
      <c r="D18" s="26">
        <f>B18-C18</f>
        <v/>
      </c>
      <c r="E18" s="22" t="inlineStr">
        <is>
          <t>Capital return via buybacks; reduces share count and boosts EPS over time</t>
        </is>
      </c>
    </row>
    <row r="19">
      <c r="A19" s="23" t="inlineStr">
        <is>
          <t>Other Financing Activities (net)</t>
        </is>
      </c>
      <c r="B19" s="26" t="n">
        <v>-14554</v>
      </c>
      <c r="C19" s="26" t="n">
        <v>-11800</v>
      </c>
      <c r="D19" s="26">
        <f>B19-C19</f>
        <v/>
      </c>
      <c r="E19" s="22" t="inlineStr">
        <is>
          <t>Net debt issuance/repayment and other financing items</t>
        </is>
      </c>
    </row>
    <row r="20">
      <c r="A20" s="27" t="inlineStr">
        <is>
          <t>CASH FROM FINANCING ACTIVITIES</t>
        </is>
      </c>
      <c r="B20" s="38">
        <f>B17+B18+B19</f>
        <v/>
      </c>
      <c r="C20" s="21" t="n">
        <v>-121983</v>
      </c>
      <c r="D20" s="21">
        <f>B20-C20</f>
        <v/>
      </c>
    </row>
    <row r="22">
      <c r="A22" s="27" t="inlineStr">
        <is>
          <t>NET INCREASE / (DECREASE) IN CASH</t>
        </is>
      </c>
      <c r="B22" s="28">
        <f>B9+B14+B20</f>
        <v/>
      </c>
      <c r="C22" s="21">
        <f>C9+C14+C20</f>
        <v/>
      </c>
      <c r="D22" s="21">
        <f>B22-C22</f>
        <v/>
      </c>
    </row>
    <row r="23">
      <c r="A23" s="23" t="inlineStr">
        <is>
          <t>Beginning Cash Balance</t>
        </is>
      </c>
      <c r="B23" s="26" t="n">
        <v>29943</v>
      </c>
      <c r="C23" s="26" t="n">
        <v>29965</v>
      </c>
      <c r="D23" s="26">
        <f>B23-C23</f>
        <v/>
      </c>
    </row>
    <row r="24">
      <c r="A24" s="27" t="inlineStr">
        <is>
          <t>ENDING CASH BALANCE</t>
        </is>
      </c>
      <c r="B24" s="38">
        <f>B22+B23</f>
        <v/>
      </c>
      <c r="C24" s="21" t="n">
        <v>29943</v>
      </c>
      <c r="D24" s="21">
        <f>B24-C24</f>
        <v/>
      </c>
      <c r="E24" s="31" t="inlineStr">
        <is>
          <t>↑ Must match Cash on Balance Sheet — KEY LINKAGE</t>
        </is>
      </c>
    </row>
    <row r="26" ht="15" customHeight="1">
      <c r="A26" s="16" t="inlineStr">
        <is>
          <t xml:space="preserve">  FREE CASH FLOW BRIDGE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32" t="inlineStr">
        <is>
          <t>Cash from Operating Activities</t>
        </is>
      </c>
      <c r="B27" s="33">
        <f>B9</f>
        <v/>
      </c>
      <c r="C27" s="33">
        <f>C9</f>
        <v/>
      </c>
      <c r="D27" s="26">
        <f>D9</f>
        <v/>
      </c>
    </row>
    <row r="28">
      <c r="A28" s="32" t="inlineStr">
        <is>
          <t>Less: Capital Expenditure</t>
        </is>
      </c>
      <c r="B28" s="33">
        <f>B12</f>
        <v/>
      </c>
      <c r="C28" s="33">
        <f>C12</f>
        <v/>
      </c>
      <c r="D28" s="26">
        <f>D12</f>
        <v/>
      </c>
    </row>
    <row r="29">
      <c r="A29" s="27" t="inlineStr">
        <is>
          <t>FREE CASH FLOW</t>
        </is>
      </c>
      <c r="B29" s="38">
        <f>B27+B28</f>
        <v/>
      </c>
      <c r="C29" s="38">
        <f>C27+C28</f>
        <v/>
      </c>
      <c r="D29" s="21">
        <f>B29-C29</f>
        <v/>
      </c>
      <c r="E29" s="31">
        <f> Operating CF − CapEx; true cash generation available to debt &amp; equity holders</f>
        <v/>
      </c>
    </row>
    <row r="30">
      <c r="A30" s="29" t="inlineStr">
        <is>
          <t>FCF Margin %</t>
        </is>
      </c>
      <c r="B30" s="25">
        <f>B29/'Income Statement'!B5</f>
        <v/>
      </c>
      <c r="C30" s="25">
        <f>C29/'Income Statement'!E5</f>
        <v/>
      </c>
      <c r="D30" s="25">
        <f>B30-C30</f>
        <v/>
      </c>
      <c r="E30" s="31" t="inlineStr">
        <is>
          <t>FCF as % of revenue; links to Total Net Revenue on Income Statement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  <col width="4" customWidth="1" min="6" max="6"/>
    <col width="28" customWidth="1" min="7" max="7"/>
    <col width="14" customWidth="1" min="8" max="8"/>
    <col width="32" customWidth="1" min="9" max="9"/>
  </cols>
  <sheetData>
    <row r="1" ht="22" customHeight="1">
      <c r="A1" s="4" t="inlineStr">
        <is>
          <t>THREE-STATEMENT LINKAGE</t>
        </is>
      </c>
    </row>
    <row r="3" ht="16" customHeight="1">
      <c r="A3" s="15" t="inlineStr">
        <is>
          <t>INCOME STATEMENT</t>
        </is>
      </c>
      <c r="B3" s="15" t="inlineStr">
        <is>
          <t>$M</t>
        </is>
      </c>
      <c r="C3" s="15" t="inlineStr"/>
      <c r="D3" s="15" t="inlineStr">
        <is>
          <t>BALANCE SHEET</t>
        </is>
      </c>
      <c r="E3" s="15" t="inlineStr">
        <is>
          <t>$M</t>
        </is>
      </c>
      <c r="F3" s="15" t="inlineStr"/>
      <c r="G3" s="15" t="inlineStr">
        <is>
          <t>CASH FLOW STMT</t>
        </is>
      </c>
      <c r="H3" s="15" t="inlineStr">
        <is>
          <t>$M</t>
        </is>
      </c>
      <c r="I3" s="15" t="inlineStr">
        <is>
          <t>LINKAGE NOTE</t>
        </is>
      </c>
    </row>
    <row r="4">
      <c r="A4" s="27" t="inlineStr">
        <is>
          <t>Revenue</t>
        </is>
      </c>
      <c r="B4" s="33">
        <f>'Income Statement'!B5</f>
        <v/>
      </c>
      <c r="C4" s="32" t="inlineStr">
        <is>
          <t>→</t>
        </is>
      </c>
      <c r="D4" s="27" t="inlineStr">
        <is>
          <t>Accounts Receivable</t>
        </is>
      </c>
      <c r="E4" s="33">
        <f>'Balance Sheet'!B7</f>
        <v/>
      </c>
      <c r="F4" s="32" t="inlineStr">
        <is>
          <t>→</t>
        </is>
      </c>
      <c r="G4" s="27" t="inlineStr">
        <is>
          <t>Net Income (start)</t>
        </is>
      </c>
      <c r="H4" s="33">
        <f>'Cash Flow Statement'!B5</f>
        <v/>
      </c>
      <c r="I4" s="22" t="inlineStr">
        <is>
          <t>LINK 1: Net income ties IS → CFS starting point</t>
        </is>
      </c>
    </row>
    <row r="5">
      <c r="A5" s="27" t="inlineStr">
        <is>
          <t>COGS</t>
        </is>
      </c>
      <c r="B5" s="33">
        <f>'Income Statement'!B7</f>
        <v/>
      </c>
      <c r="C5" s="32" t="inlineStr">
        <is>
          <t>→</t>
        </is>
      </c>
      <c r="D5" s="27" t="inlineStr">
        <is>
          <t>Inventories</t>
        </is>
      </c>
      <c r="E5" s="33">
        <f>'Balance Sheet'!B8</f>
        <v/>
      </c>
      <c r="F5" s="32" t="inlineStr">
        <is>
          <t>→</t>
        </is>
      </c>
      <c r="G5" s="27" t="inlineStr">
        <is>
          <t>+ D&amp;A add-back</t>
        </is>
      </c>
      <c r="H5" s="33">
        <f>'Cash Flow Statement'!B6</f>
        <v/>
      </c>
      <c r="I5" s="22" t="inlineStr">
        <is>
          <t>LINK 2: D&amp;A reduces IS earnings, added back on CFS</t>
        </is>
      </c>
    </row>
    <row r="6">
      <c r="A6" s="27" t="inlineStr">
        <is>
          <t>Gross Profit</t>
        </is>
      </c>
      <c r="B6" s="33">
        <f>'Income Statement'!B8</f>
        <v/>
      </c>
      <c r="C6" s="32" t="inlineStr">
        <is>
          <t>→</t>
        </is>
      </c>
      <c r="D6" s="27" t="inlineStr">
        <is>
          <t>PP&amp;E, net</t>
        </is>
      </c>
      <c r="E6" s="33">
        <f>'Balance Sheet'!B13</f>
        <v/>
      </c>
      <c r="F6" s="32" t="inlineStr">
        <is>
          <t>→</t>
        </is>
      </c>
      <c r="G6" s="27" t="inlineStr">
        <is>
          <t>– CapEx</t>
        </is>
      </c>
      <c r="H6" s="33">
        <f>'Cash Flow Statement'!B12</f>
        <v/>
      </c>
      <c r="I6" s="22" t="inlineStr">
        <is>
          <t>LINK 3: CapEx builds PP&amp;E; D&amp;A reduces PP&amp;E</t>
        </is>
      </c>
    </row>
    <row r="7">
      <c r="A7" s="27" t="inlineStr">
        <is>
          <t>R&amp;D Expense</t>
        </is>
      </c>
      <c r="B7" s="33">
        <f>'Income Statement'!B10</f>
        <v/>
      </c>
      <c r="C7" s="32" t="inlineStr">
        <is>
          <t>→</t>
        </is>
      </c>
      <c r="D7" s="27" t="inlineStr">
        <is>
          <t>Total Assets</t>
        </is>
      </c>
      <c r="E7" s="33">
        <f>'Balance Sheet'!B16</f>
        <v/>
      </c>
      <c r="F7" s="32" t="inlineStr">
        <is>
          <t>→</t>
        </is>
      </c>
      <c r="G7" s="27" t="inlineStr">
        <is>
          <t>Working Capital Chgs</t>
        </is>
      </c>
      <c r="H7" s="33">
        <f>'Cash Flow Statement'!B8</f>
        <v/>
      </c>
      <c r="I7" s="22" t="inlineStr">
        <is>
          <t>LINK 4: WC changes bridge IS accruals to CFS cash</t>
        </is>
      </c>
    </row>
    <row r="8">
      <c r="A8" s="27" t="inlineStr">
        <is>
          <t>EBIT</t>
        </is>
      </c>
      <c r="B8" s="33">
        <f>'Income Statement'!B13</f>
        <v/>
      </c>
      <c r="C8" s="32" t="inlineStr">
        <is>
          <t>→</t>
        </is>
      </c>
      <c r="D8" s="27" t="inlineStr">
        <is>
          <t>Accounts Payable</t>
        </is>
      </c>
      <c r="E8" s="33">
        <f>'Balance Sheet'!B19</f>
        <v/>
      </c>
      <c r="F8" s="32" t="inlineStr">
        <is>
          <t>→</t>
        </is>
      </c>
      <c r="G8" s="27" t="inlineStr">
        <is>
          <t>– WC &amp; Other Adj.</t>
        </is>
      </c>
      <c r="H8" s="33">
        <f>'Cash Flow Statement'!B8</f>
        <v/>
      </c>
      <c r="I8" s="22" t="inlineStr">
        <is>
          <t>LINK 5: AP on BS links to WC adjustments on CFS</t>
        </is>
      </c>
    </row>
    <row r="9">
      <c r="A9" s="27" t="inlineStr">
        <is>
          <t>Net Income</t>
        </is>
      </c>
      <c r="B9" s="33">
        <f>'Income Statement'!B19</f>
        <v/>
      </c>
      <c r="C9" s="32" t="inlineStr">
        <is>
          <t>→</t>
        </is>
      </c>
      <c r="D9" s="27" t="inlineStr">
        <is>
          <t>Retained Earnings</t>
        </is>
      </c>
      <c r="E9" s="33">
        <f>'Balance Sheet'!B32</f>
        <v/>
      </c>
      <c r="F9" s="32" t="inlineStr">
        <is>
          <t>→</t>
        </is>
      </c>
      <c r="G9" s="27" t="inlineStr">
        <is>
          <t>Ending Cash</t>
        </is>
      </c>
      <c r="H9" s="33">
        <f>'Cash Flow Statement'!B24</f>
        <v/>
      </c>
      <c r="I9" s="22" t="inlineStr">
        <is>
          <t>LINK 6: Net income → RE on BS; Ending cash ties CFS → BS</t>
        </is>
      </c>
    </row>
    <row r="10">
      <c r="A10" s="27" t="inlineStr">
        <is>
          <t>EBITDA</t>
        </is>
      </c>
      <c r="B10" s="33">
        <f>'Income Statement'!B24</f>
        <v/>
      </c>
      <c r="C10" s="32" t="inlineStr">
        <is>
          <t>→</t>
        </is>
      </c>
      <c r="D10" s="27" t="inlineStr">
        <is>
          <t>Total Liabilities+Eq</t>
        </is>
      </c>
      <c r="E10" s="33">
        <f>'Balance Sheet'!B36</f>
        <v/>
      </c>
      <c r="F10" s="32" t="inlineStr">
        <is>
          <t>→</t>
        </is>
      </c>
      <c r="G10" s="27" t="inlineStr">
        <is>
          <t>Free Cash Flow</t>
        </is>
      </c>
      <c r="H10" s="33">
        <f>'Cash Flow Statement'!B29</f>
        <v/>
      </c>
      <c r="I10" s="22" t="inlineStr">
        <is>
          <t>LINK 7: EBITDA drives DCF; FCF = Operating CF – CapEx</t>
        </is>
      </c>
    </row>
    <row r="12" ht="22" customHeight="1">
      <c r="A12" s="13" t="inlineStr">
        <is>
          <t>The Three Permanent Rules</t>
        </is>
      </c>
    </row>
    <row r="13">
      <c r="A13" s="39" t="inlineStr">
        <is>
          <t>Rule 1: Net Income (IS) → ALWAYS flows to Retained Earnings (BS) and is the CFS starting point</t>
        </is>
      </c>
    </row>
    <row r="14">
      <c r="A14" s="39" t="inlineStr">
        <is>
          <t>Rule 2: Ending Cash on CFS → ALWAYS equals Cash &amp; Equivalents on the Balance Sheet</t>
        </is>
      </c>
    </row>
    <row r="15">
      <c r="A15" s="39" t="inlineStr">
        <is>
          <t>Rule 3: Total Assets (BS) → ALWAYS equals Total Liabilities + Shareholders' Equity</t>
        </is>
      </c>
    </row>
  </sheetData>
  <mergeCells count="5">
    <mergeCell ref="A15:I15"/>
    <mergeCell ref="A13:I13"/>
    <mergeCell ref="A14:I14"/>
    <mergeCell ref="A1:I1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22B21"/>
    <outlinePr summaryBelow="1" summaryRight="1"/>
    <pageSetUpPr/>
  </sheetPr>
  <dimension ref="A1:M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 ht="22" customHeight="1">
      <c r="A1" s="4" t="inlineStr">
        <is>
          <t>APPLE INC. — DCF MODEL  |  5-Year Projection + Terminal Value</t>
        </is>
      </c>
    </row>
    <row r="2">
      <c r="A2" s="14" t="inlineStr">
        <is>
          <t>$M unless stated</t>
        </is>
      </c>
    </row>
    <row r="3" ht="16" customHeight="1">
      <c r="A3" s="15" t="inlineStr">
        <is>
          <t>Line Item</t>
        </is>
      </c>
      <c r="B3" s="15" t="inlineStr">
        <is>
          <t>Base</t>
        </is>
      </c>
      <c r="C3" s="15" t="inlineStr">
        <is>
          <t>FY+1E</t>
        </is>
      </c>
      <c r="D3" s="15" t="inlineStr">
        <is>
          <t>FY+2E</t>
        </is>
      </c>
      <c r="E3" s="15" t="inlineStr">
        <is>
          <t>FY+3E</t>
        </is>
      </c>
      <c r="F3" s="15" t="inlineStr">
        <is>
          <t>FY+4E</t>
        </is>
      </c>
      <c r="G3" s="15" t="inlineStr">
        <is>
          <t>FY+5E</t>
        </is>
      </c>
      <c r="H3" s="15" t="inlineStr">
        <is>
          <t>Terminal Value</t>
        </is>
      </c>
      <c r="I3" s="15" t="inlineStr">
        <is>
          <t>Notes</t>
        </is>
      </c>
    </row>
    <row r="4" ht="15" customHeight="1">
      <c r="A4" s="16" t="inlineStr">
        <is>
          <t xml:space="preserve">  KEY ASSUMPTIONS (blue = change for scenarios)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A5" s="27" t="inlineStr">
        <is>
          <t>Revenue Growth Rate</t>
        </is>
      </c>
      <c r="C5" s="40" t="n">
        <v>0.05</v>
      </c>
      <c r="D5" s="40" t="n">
        <v>0.07000000000000001</v>
      </c>
      <c r="E5" s="40" t="n">
        <v>0.08</v>
      </c>
      <c r="F5" s="40" t="n">
        <v>0.08</v>
      </c>
      <c r="G5" s="40" t="n">
        <v>0.06</v>
      </c>
    </row>
    <row r="6">
      <c r="A6" s="27" t="inlineStr">
        <is>
          <t>EBIT Margin</t>
        </is>
      </c>
      <c r="B6" s="40" t="n">
        <v>0.32275</v>
      </c>
      <c r="C6" s="40" t="n">
        <v>0.3</v>
      </c>
      <c r="D6" s="40" t="n">
        <v>0.3</v>
      </c>
      <c r="E6" s="40" t="n">
        <v>0.3</v>
      </c>
      <c r="F6" s="40" t="n">
        <v>0.3</v>
      </c>
      <c r="G6" s="40" t="n">
        <v>0.3</v>
      </c>
    </row>
    <row r="7">
      <c r="A7" s="27" t="inlineStr">
        <is>
          <t>Tax Rate</t>
        </is>
      </c>
      <c r="B7" s="40" t="n">
        <v>0.21</v>
      </c>
      <c r="C7" s="40" t="n">
        <v>0.21</v>
      </c>
      <c r="D7" s="40" t="n">
        <v>0.21</v>
      </c>
      <c r="E7" s="40" t="n">
        <v>0.21</v>
      </c>
      <c r="F7" s="40" t="n">
        <v>0.21</v>
      </c>
      <c r="G7" s="40" t="n">
        <v>0.21</v>
      </c>
    </row>
    <row r="8">
      <c r="A8" s="27" t="inlineStr">
        <is>
          <t>D&amp;A as % of Revenue</t>
        </is>
      </c>
      <c r="B8" s="40" t="n">
        <v>0.03</v>
      </c>
      <c r="C8" s="40" t="n">
        <v>0.03</v>
      </c>
      <c r="D8" s="40" t="n">
        <v>0.03</v>
      </c>
      <c r="E8" s="40" t="n">
        <v>0.03</v>
      </c>
      <c r="F8" s="40" t="n">
        <v>0.03</v>
      </c>
      <c r="G8" s="40" t="n">
        <v>0.03</v>
      </c>
    </row>
    <row r="9">
      <c r="A9" s="27" t="inlineStr">
        <is>
          <t>CapEx as % of Revenue</t>
        </is>
      </c>
      <c r="B9" s="40" t="n">
        <v>0.03</v>
      </c>
      <c r="C9" s="40" t="n">
        <v>0.03</v>
      </c>
      <c r="D9" s="40" t="n">
        <v>0.03</v>
      </c>
      <c r="E9" s="40" t="n">
        <v>0.03</v>
      </c>
      <c r="F9" s="40" t="n">
        <v>0.03</v>
      </c>
      <c r="G9" s="40" t="n">
        <v>0.03</v>
      </c>
    </row>
    <row r="10">
      <c r="A10" s="27" t="inlineStr">
        <is>
          <t>Change in NWC as % of Rev</t>
        </is>
      </c>
      <c r="B10" s="40" t="n">
        <v>0.005</v>
      </c>
      <c r="C10" s="40" t="n">
        <v>0.005</v>
      </c>
      <c r="D10" s="40" t="n">
        <v>0.005</v>
      </c>
      <c r="E10" s="40" t="n">
        <v>0.005</v>
      </c>
      <c r="F10" s="40" t="n">
        <v>0.005</v>
      </c>
      <c r="G10" s="40" t="n">
        <v>0.005</v>
      </c>
    </row>
    <row r="11">
      <c r="A11" s="27" t="inlineStr">
        <is>
          <t>WACC (Discount Rate)</t>
        </is>
      </c>
      <c r="B11" s="40">
        <f>'WACC Calculation'!B25</f>
        <v/>
      </c>
    </row>
    <row r="12">
      <c r="A12" s="27" t="inlineStr">
        <is>
          <t>Terminal Growth Rate (g)</t>
        </is>
      </c>
      <c r="B12" s="40" t="n">
        <v>0.025</v>
      </c>
    </row>
    <row r="13">
      <c r="A13" s="27" t="inlineStr">
        <is>
          <t>Exit Multiple (EV/EBITDA ×)</t>
        </is>
      </c>
      <c r="H13" s="41" t="n">
        <v>20</v>
      </c>
    </row>
    <row r="15" ht="15" customHeight="1">
      <c r="A15" s="16" t="inlineStr">
        <is>
          <t xml:space="preserve">  STEP 1: PROJECT UNLEVERED FREE CASH FLOWS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27" t="inlineStr">
        <is>
          <t>Revenue ($M)</t>
        </is>
      </c>
      <c r="B16" s="42" t="n">
        <v>451442.016256</v>
      </c>
      <c r="C16" s="26">
        <f>B16*(1+C5)</f>
        <v/>
      </c>
      <c r="D16" s="26">
        <f>C16*(1+D5)</f>
        <v/>
      </c>
      <c r="E16" s="26">
        <f>D16*(1+E5)</f>
        <v/>
      </c>
      <c r="F16" s="26">
        <f>E16*(1+F5)</f>
        <v/>
      </c>
      <c r="G16" s="26">
        <f>F16*(1+G5)</f>
        <v/>
      </c>
      <c r="I16" s="22" t="inlineStr">
        <is>
          <t>Base = last reported revenue; forecast years grow at assumed rate above</t>
        </is>
      </c>
    </row>
    <row r="17">
      <c r="A17" s="27" t="inlineStr">
        <is>
          <t>EBIT ($M)</t>
        </is>
      </c>
      <c r="B17" s="26">
        <f>B16*B6</f>
        <v/>
      </c>
      <c r="C17" s="26">
        <f>C16*C6</f>
        <v/>
      </c>
      <c r="D17" s="26">
        <f>D16*D6</f>
        <v/>
      </c>
      <c r="E17" s="26">
        <f>E16*E6</f>
        <v/>
      </c>
      <c r="F17" s="26">
        <f>F16*F6</f>
        <v/>
      </c>
      <c r="G17" s="26">
        <f>G16*G6</f>
        <v/>
      </c>
      <c r="I17" s="22">
        <f> Revenue × EBIT Margin; operating profit before interest &amp; tax</f>
        <v/>
      </c>
    </row>
    <row r="18">
      <c r="A18" s="27" t="inlineStr">
        <is>
          <t>NOPAT = EBIT × (1 – Tax Rate)</t>
        </is>
      </c>
      <c r="B18" s="26">
        <f>B17*(1-B7)</f>
        <v/>
      </c>
      <c r="C18" s="26">
        <f>C17*(1-C7)</f>
        <v/>
      </c>
      <c r="D18" s="26">
        <f>D17*(1-D7)</f>
        <v/>
      </c>
      <c r="E18" s="26">
        <f>E17*(1-E7)</f>
        <v/>
      </c>
      <c r="F18" s="26">
        <f>F17*(1-F7)</f>
        <v/>
      </c>
      <c r="G18" s="26">
        <f>G17*(1-G7)</f>
        <v/>
      </c>
      <c r="I18" s="22" t="inlineStr">
        <is>
          <t>Net Operating Profit After Tax; removes financing effects for unlevered view</t>
        </is>
      </c>
    </row>
    <row r="19">
      <c r="A19" s="32" t="inlineStr">
        <is>
          <t>Add: D&amp;A ($M)</t>
        </is>
      </c>
      <c r="B19" s="26">
        <f>B16*B8</f>
        <v/>
      </c>
      <c r="C19" s="26">
        <f>C16*C8</f>
        <v/>
      </c>
      <c r="D19" s="26">
        <f>D16*D8</f>
        <v/>
      </c>
      <c r="E19" s="26">
        <f>E16*E8</f>
        <v/>
      </c>
      <c r="F19" s="26">
        <f>F16*F8</f>
        <v/>
      </c>
      <c r="G19" s="26">
        <f>G16*G8</f>
        <v/>
      </c>
      <c r="I19" s="22" t="inlineStr">
        <is>
          <t>Non-cash charge added back; reduces IS earnings but not a cash outflow</t>
        </is>
      </c>
    </row>
    <row r="20">
      <c r="A20" s="32" t="inlineStr">
        <is>
          <t>Less: CapEx ($M)</t>
        </is>
      </c>
      <c r="B20" s="26">
        <f>-B16*B9</f>
        <v/>
      </c>
      <c r="C20" s="26">
        <f>-C16*C9</f>
        <v/>
      </c>
      <c r="D20" s="26">
        <f>-D16*D9</f>
        <v/>
      </c>
      <c r="E20" s="26">
        <f>-E16*E9</f>
        <v/>
      </c>
      <c r="F20" s="26">
        <f>-F16*F9</f>
        <v/>
      </c>
      <c r="G20" s="26">
        <f>-G16*G9</f>
        <v/>
      </c>
      <c r="I20" s="22" t="inlineStr">
        <is>
          <t>Capital expenditure; shown negative (cash outflow to build/maintain assets)</t>
        </is>
      </c>
    </row>
    <row r="21">
      <c r="A21" s="32" t="inlineStr">
        <is>
          <t>Less: Change in NWC ($M)</t>
        </is>
      </c>
      <c r="C21" s="26">
        <f>-(C16-B16)*C10</f>
        <v/>
      </c>
      <c r="D21" s="26">
        <f>-(D16-C16)*D10</f>
        <v/>
      </c>
      <c r="E21" s="26">
        <f>-(E16-D16)*E10</f>
        <v/>
      </c>
      <c r="F21" s="26">
        <f>-(F16-E16)*F10</f>
        <v/>
      </c>
      <c r="G21" s="26">
        <f>-(G16-F16)*G10</f>
        <v/>
      </c>
      <c r="I21" s="22" t="inlineStr">
        <is>
          <t>Incremental working capital needed as business grows; negative = cash used</t>
        </is>
      </c>
    </row>
    <row r="22">
      <c r="A22" s="27" t="inlineStr">
        <is>
          <t>UNLEVERED FREE CASH FLOW</t>
        </is>
      </c>
      <c r="C22" s="19">
        <f>C18+C19+C20+C21</f>
        <v/>
      </c>
      <c r="D22" s="19">
        <f>D18+D19+D20+D21</f>
        <v/>
      </c>
      <c r="E22" s="19">
        <f>E18+E19+E20+E21</f>
        <v/>
      </c>
      <c r="F22" s="19">
        <f>F18+F19+F20+F21</f>
        <v/>
      </c>
      <c r="G22" s="19">
        <f>G18+G19+G20+G21</f>
        <v/>
      </c>
      <c r="I22" s="22">
        <f> NOPAT + D&amp;A − CapEx − ΔNWC; pre-financing cash available to all capital providers</f>
        <v/>
      </c>
    </row>
    <row r="24" ht="15" customHeight="1">
      <c r="A24" s="16" t="inlineStr">
        <is>
          <t xml:space="preserve">  STEP 2: TERMINAL VALUE (Gordon Growth Model)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27" t="inlineStr">
        <is>
          <t>TV = Final UFCF × (1+g) / (WACC – g)</t>
        </is>
      </c>
      <c r="B25" s="19">
        <f>G22*(1+B12)/(B11-B12)</f>
        <v/>
      </c>
      <c r="I25" s="22" t="inlineStr">
        <is>
          <t>Gordon Growth Model; WACC must exceed g or result is undefined — adjust assumptions if negative</t>
        </is>
      </c>
    </row>
    <row r="27" ht="15" customHeight="1">
      <c r="A27" s="16" t="inlineStr">
        <is>
          <t xml:space="preserve">  STEP 2B: TERMINAL VALUE (Exit Multiple Method — EV/EBITDA)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27" t="inlineStr">
        <is>
          <t>Year 5 EBITDA = EBIT + D&amp;A</t>
        </is>
      </c>
      <c r="B28" s="21">
        <f>G17+G19</f>
        <v/>
      </c>
      <c r="I28" s="22" t="inlineStr">
        <is>
          <t>Year 5 projected EBIT + D&amp;A from assumptions above; exit multiple applied to this</t>
        </is>
      </c>
    </row>
    <row r="29">
      <c r="A29" s="18" t="inlineStr">
        <is>
          <t>EV/EBITDA Exit Multiple</t>
        </is>
      </c>
      <c r="B29" s="43">
        <f>H13</f>
        <v/>
      </c>
      <c r="I29" s="22" t="inlineStr">
        <is>
          <t>From assumption table above (col H); update based on peer median in Trading Comps</t>
        </is>
      </c>
    </row>
    <row r="30">
      <c r="A30" s="27" t="inlineStr">
        <is>
          <t>TV = Year 5 EBITDA × Exit Multiple</t>
        </is>
      </c>
      <c r="B30" s="19">
        <f>B28*B29</f>
        <v/>
      </c>
      <c r="I30" s="22" t="inlineStr">
        <is>
          <t>EV at Year 5 using market-based multiple; alternative to perpetuity growth (GGM)</t>
        </is>
      </c>
    </row>
    <row r="32" ht="15" customHeight="1">
      <c r="A32" s="16" t="inlineStr">
        <is>
          <t xml:space="preserve">  STEP 3: DISCOUNT TO PRESENT VALUE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32" t="inlineStr">
        <is>
          <t>Year Number</t>
        </is>
      </c>
      <c r="C33" s="44" t="n">
        <v>1</v>
      </c>
      <c r="D33" s="44" t="n">
        <v>2</v>
      </c>
      <c r="E33" s="44" t="n">
        <v>3</v>
      </c>
      <c r="F33" s="44" t="n">
        <v>4</v>
      </c>
      <c r="G33" s="44" t="n">
        <v>5</v>
      </c>
    </row>
    <row r="34">
      <c r="A34" s="32" t="inlineStr">
        <is>
          <t>PV Discount Factor = 1 / (1+WACC)^n</t>
        </is>
      </c>
      <c r="C34" s="45">
        <f>1/(1+$B$11)^C33</f>
        <v/>
      </c>
      <c r="D34" s="45">
        <f>1/(1+$B$11)^D33</f>
        <v/>
      </c>
      <c r="E34" s="45">
        <f>1/(1+$B$11)^E33</f>
        <v/>
      </c>
      <c r="F34" s="45">
        <f>1/(1+$B$11)^F33</f>
        <v/>
      </c>
      <c r="G34" s="45">
        <f>1/(1+$B$11)^G33</f>
        <v/>
      </c>
    </row>
    <row r="35">
      <c r="A35" s="27" t="inlineStr">
        <is>
          <t>PV of Each UFCF</t>
        </is>
      </c>
      <c r="C35" s="21">
        <f>C22*C34</f>
        <v/>
      </c>
      <c r="D35" s="21">
        <f>D22*D34</f>
        <v/>
      </c>
      <c r="E35" s="21">
        <f>E22*E34</f>
        <v/>
      </c>
      <c r="F35" s="21">
        <f>F22*F34</f>
        <v/>
      </c>
      <c r="G35" s="21">
        <f>G22*G34</f>
        <v/>
      </c>
    </row>
    <row r="36">
      <c r="A36" s="27" t="inlineStr">
        <is>
          <t>PV of Terminal Value (GGM)</t>
        </is>
      </c>
      <c r="B36" s="19">
        <f>B25/(1+$B$11)^5</f>
        <v/>
      </c>
      <c r="I36" s="22" t="inlineStr">
        <is>
          <t>GGM Terminal Value discounted back 5 years at WACC; typically 60-80% of total EV</t>
        </is>
      </c>
    </row>
    <row r="37">
      <c r="A37" s="27" t="inlineStr">
        <is>
          <t>PV of Terminal Value (Exit Multiple)</t>
        </is>
      </c>
      <c r="B37" s="19">
        <f>B30/(1+$B$11)^5</f>
        <v/>
      </c>
      <c r="I37" s="22" t="inlineStr">
        <is>
          <t>Exit Multiple TV discounted back 5 years at WACC</t>
        </is>
      </c>
    </row>
    <row r="39" ht="15" customHeight="1">
      <c r="A39" s="16" t="inlineStr">
        <is>
          <t xml:space="preserve">  STEP 4: BRIDGE TO EQUITY VALUE PER SHARE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32" t="inlineStr">
        <is>
          <t>Sum of PV of UFCFs (Years 1–5)</t>
        </is>
      </c>
      <c r="B40" s="26">
        <f>SUM(C35:G35)</f>
        <v/>
      </c>
    </row>
    <row r="41">
      <c r="A41" s="32" t="inlineStr">
        <is>
          <t>PV of Terminal Value</t>
        </is>
      </c>
      <c r="B41" s="33">
        <f>B36</f>
        <v/>
      </c>
    </row>
    <row r="42">
      <c r="A42" s="29" t="inlineStr">
        <is>
          <t>TV as % of Total EV</t>
        </is>
      </c>
      <c r="B42" s="25">
        <f>B41/(B40+B41)</f>
        <v/>
      </c>
    </row>
    <row r="43">
      <c r="A43" s="30" t="inlineStr">
        <is>
          <t>ENTERPRISE VALUE (DCF)</t>
        </is>
      </c>
      <c r="B43" s="19">
        <f>B40+B41</f>
        <v/>
      </c>
      <c r="I43" s="22">
        <f> PV of FCFs + PV of Terminal Value; value of the whole enterprise (debt + equity)</f>
        <v/>
      </c>
    </row>
    <row r="44">
      <c r="A44" s="23" t="inlineStr">
        <is>
          <t>Add: Cash &amp; Equivalents ($M)</t>
        </is>
      </c>
      <c r="B44" s="26" t="n">
        <v>68507.00083200001</v>
      </c>
      <c r="I44" s="22" t="inlineStr">
        <is>
          <t>Cash is non-operating; added back to convert EV → Equity Value</t>
        </is>
      </c>
    </row>
    <row r="45">
      <c r="A45" s="23" t="inlineStr">
        <is>
          <t>Less: Total Debt ($M)</t>
        </is>
      </c>
      <c r="B45" s="26" t="n">
        <v>-84710.998016</v>
      </c>
      <c r="I45" s="22" t="inlineStr">
        <is>
          <t>Debt holders have prior claim; deducted to get equity holders' value</t>
        </is>
      </c>
    </row>
    <row r="46">
      <c r="A46" s="27" t="inlineStr">
        <is>
          <t>Equity Value ($M)</t>
        </is>
      </c>
      <c r="B46" s="28">
        <f>B43+B44+B45</f>
        <v/>
      </c>
      <c r="I46" s="22">
        <f> Enterprise Value + Cash − Debt; total value attributable to equity holders</f>
        <v/>
      </c>
    </row>
    <row r="47">
      <c r="A47" s="23" t="inlineStr">
        <is>
          <t>Diluted Shares Outstanding (M)</t>
        </is>
      </c>
      <c r="B47" s="34" t="n">
        <v>14687.356</v>
      </c>
      <c r="I47" s="22" t="inlineStr">
        <is>
          <t>Diluted count includes options and RSUs; source: Yahoo Finance</t>
        </is>
      </c>
    </row>
    <row r="48">
      <c r="A48" s="30" t="inlineStr">
        <is>
          <t>INTRINSIC VALUE PER SHARE (GGM)</t>
        </is>
      </c>
      <c r="B48" s="46">
        <f>B46/B47</f>
        <v/>
      </c>
      <c r="I48" s="22">
        <f> Equity Value / Diluted Shares; compare to current market price for buy/sell signal</f>
        <v/>
      </c>
    </row>
    <row r="50" ht="15" customHeight="1">
      <c r="A50" s="16" t="inlineStr">
        <is>
          <t xml:space="preserve">  STEP 4B: BRIDGE TO EQUITY VALUE — EXIT MULTIPLE METHOD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32" t="inlineStr">
        <is>
          <t>Sum of PV of UFCFs (Years 1–5)</t>
        </is>
      </c>
      <c r="B51" s="26">
        <f>SUM(C35:G35)</f>
        <v/>
      </c>
    </row>
    <row r="52">
      <c r="A52" s="32" t="inlineStr">
        <is>
          <t>PV of Terminal Value (Exit Multiple)</t>
        </is>
      </c>
      <c r="B52" s="33">
        <f>B37</f>
        <v/>
      </c>
    </row>
    <row r="53">
      <c r="A53" s="29" t="inlineStr">
        <is>
          <t>TV as % of Total EV (Exit Method)</t>
        </is>
      </c>
      <c r="B53" s="25">
        <f>B52/(B51+B52)</f>
        <v/>
      </c>
    </row>
    <row r="54">
      <c r="A54" s="30" t="inlineStr">
        <is>
          <t>ENTERPRISE VALUE (Exit Multiple Method)</t>
        </is>
      </c>
      <c r="B54" s="19">
        <f>B51+B52</f>
        <v/>
      </c>
      <c r="I54" s="22">
        <f> PV UFCFs + PV Exit TV; parallel to GGM EV above</f>
        <v/>
      </c>
    </row>
    <row r="55">
      <c r="A55" s="23" t="inlineStr">
        <is>
          <t>Add: Cash &amp; Equivalents ($M)</t>
        </is>
      </c>
      <c r="B55" s="26" t="n">
        <v>68507.00083200001</v>
      </c>
    </row>
    <row r="56">
      <c r="A56" s="23" t="inlineStr">
        <is>
          <t>Less: Total Debt ($M)</t>
        </is>
      </c>
      <c r="B56" s="26" t="n">
        <v>-84710.998016</v>
      </c>
    </row>
    <row r="57">
      <c r="A57" s="27" t="inlineStr">
        <is>
          <t>Equity Value — Exit Multiple ($M)</t>
        </is>
      </c>
      <c r="B57" s="28">
        <f>B54+B55+B56</f>
        <v/>
      </c>
    </row>
    <row r="58">
      <c r="A58" s="23" t="inlineStr">
        <is>
          <t>Diluted Shares Outstanding (M)</t>
        </is>
      </c>
      <c r="B58" s="34" t="n">
        <v>14687.356</v>
      </c>
    </row>
    <row r="59">
      <c r="A59" s="30" t="inlineStr">
        <is>
          <t>INTRINSIC VALUE PER SHARE (Exit Multiple)</t>
        </is>
      </c>
      <c r="B59" s="46">
        <f>B57/B58</f>
        <v/>
      </c>
      <c r="I59" s="22" t="inlineStr">
        <is>
          <t>Parallel to GGM method; uses market-based exit multiple instead of perpetuity growth</t>
        </is>
      </c>
    </row>
    <row r="61" ht="15" customHeight="1">
      <c r="A61" s="16" t="inlineStr">
        <is>
          <t xml:space="preserve">  STEP 5: SENSITIVITY — Share Price vs WACC &amp; Terminal Growth Rate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29" t="inlineStr">
        <is>
          <t>→ Terminal Growth Rate (g)</t>
        </is>
      </c>
      <c r="C62" s="47" t="n">
        <v>0.015</v>
      </c>
      <c r="D62" s="47" t="n">
        <v>0.02</v>
      </c>
      <c r="E62" s="47" t="n">
        <v>0.025</v>
      </c>
      <c r="F62" s="47" t="n">
        <v>0.03</v>
      </c>
      <c r="G62" s="47" t="n">
        <v>0.035</v>
      </c>
    </row>
    <row r="63">
      <c r="A63" s="27" t="inlineStr">
        <is>
          <t>WACC = 9.6%</t>
        </is>
      </c>
      <c r="B63" s="25" t="n">
        <v>0.096</v>
      </c>
      <c r="C63" s="48" t="n">
        <v>62.1</v>
      </c>
      <c r="D63" s="48" t="n">
        <v>66.51000000000001</v>
      </c>
      <c r="E63" s="48" t="n">
        <v>71.54000000000001</v>
      </c>
      <c r="F63" s="48" t="n">
        <v>77.34</v>
      </c>
      <c r="G63" s="48" t="n">
        <v>84.08</v>
      </c>
    </row>
    <row r="64">
      <c r="A64" s="27" t="inlineStr">
        <is>
          <t>WACC = 10.6%</t>
        </is>
      </c>
      <c r="B64" s="25" t="n">
        <v>0.106</v>
      </c>
      <c r="C64" s="48" t="n">
        <v>52.82</v>
      </c>
      <c r="D64" s="48" t="n">
        <v>56.17</v>
      </c>
      <c r="E64" s="48" t="n">
        <v>59.93</v>
      </c>
      <c r="F64" s="48" t="n">
        <v>64.18000000000001</v>
      </c>
      <c r="G64" s="48" t="n">
        <v>69.03</v>
      </c>
    </row>
    <row r="65">
      <c r="A65" s="27" t="inlineStr">
        <is>
          <t>WACC = 11.6%</t>
        </is>
      </c>
      <c r="B65" s="25" t="n">
        <v>0.116</v>
      </c>
      <c r="C65" s="48" t="n">
        <v>45.5</v>
      </c>
      <c r="D65" s="48" t="n">
        <v>48.1</v>
      </c>
      <c r="E65" s="49" t="n">
        <v>50.99</v>
      </c>
      <c r="F65" s="48" t="n">
        <v>54.22</v>
      </c>
      <c r="G65" s="48" t="n">
        <v>57.85</v>
      </c>
    </row>
    <row r="66">
      <c r="A66" s="27" t="inlineStr">
        <is>
          <t>WACC = 12.6%</t>
        </is>
      </c>
      <c r="B66" s="25" t="n">
        <v>0.126</v>
      </c>
      <c r="C66" s="48" t="n">
        <v>39.59</v>
      </c>
      <c r="D66" s="48" t="n">
        <v>41.66</v>
      </c>
      <c r="E66" s="48" t="n">
        <v>43.94</v>
      </c>
      <c r="F66" s="48" t="n">
        <v>46.45</v>
      </c>
      <c r="G66" s="48" t="n">
        <v>49.24</v>
      </c>
    </row>
    <row r="67">
      <c r="A67" s="27" t="inlineStr">
        <is>
          <t>WACC = 13.6%</t>
        </is>
      </c>
      <c r="B67" s="25" t="n">
        <v>0.136</v>
      </c>
      <c r="C67" s="48" t="n">
        <v>34.75</v>
      </c>
      <c r="D67" s="48" t="n">
        <v>36.43</v>
      </c>
      <c r="E67" s="48" t="n">
        <v>38.25</v>
      </c>
      <c r="F67" s="48" t="n">
        <v>40.25</v>
      </c>
      <c r="G67" s="48" t="n">
        <v>42.45</v>
      </c>
    </row>
    <row r="70" ht="15" customHeight="1">
      <c r="A70" s="16" t="inlineStr">
        <is>
          <t xml:space="preserve">  STEP 6: SENSITIVITY — Share Price vs WACC &amp; EV/EBITDA Exit Multiple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29" t="inlineStr">
        <is>
          <t>→ EV/EBITDA Exit Multiple</t>
        </is>
      </c>
      <c r="C71" s="50" t="n">
        <v>15</v>
      </c>
      <c r="D71" s="50" t="n">
        <v>17</v>
      </c>
      <c r="E71" s="50" t="n">
        <v>20</v>
      </c>
      <c r="F71" s="50" t="n">
        <v>23</v>
      </c>
      <c r="G71" s="50" t="n">
        <v>25</v>
      </c>
    </row>
    <row r="72">
      <c r="A72" s="27" t="inlineStr">
        <is>
          <t>WACC = 9.6%</t>
        </is>
      </c>
      <c r="B72" s="25" t="n">
        <v>0.096</v>
      </c>
      <c r="C72" s="48" t="n">
        <v>142.9</v>
      </c>
      <c r="D72" s="48" t="n">
        <v>161.95</v>
      </c>
      <c r="E72" s="48" t="n">
        <v>190.53</v>
      </c>
      <c r="F72" s="48" t="n">
        <v>219.11</v>
      </c>
      <c r="G72" s="48" t="n">
        <v>238.16</v>
      </c>
    </row>
    <row r="73">
      <c r="A73" s="27" t="inlineStr">
        <is>
          <t>WACC = 10.6%</t>
        </is>
      </c>
      <c r="B73" s="25" t="n">
        <v>0.106</v>
      </c>
      <c r="C73" s="48" t="n">
        <v>136.55</v>
      </c>
      <c r="D73" s="48" t="n">
        <v>154.76</v>
      </c>
      <c r="E73" s="48" t="n">
        <v>182.07</v>
      </c>
      <c r="F73" s="48" t="n">
        <v>209.38</v>
      </c>
      <c r="G73" s="48" t="n">
        <v>227.59</v>
      </c>
    </row>
    <row r="74">
      <c r="A74" s="27" t="inlineStr">
        <is>
          <t>WACC = 11.6%</t>
        </is>
      </c>
      <c r="B74" s="25" t="n">
        <v>0.116</v>
      </c>
      <c r="C74" s="48" t="n">
        <v>130.54</v>
      </c>
      <c r="D74" s="48" t="n">
        <v>147.95</v>
      </c>
      <c r="E74" s="49" t="n">
        <v>174.06</v>
      </c>
      <c r="F74" s="48" t="n">
        <v>200.17</v>
      </c>
      <c r="G74" s="48" t="n">
        <v>217.57</v>
      </c>
    </row>
    <row r="75">
      <c r="A75" s="27" t="inlineStr">
        <is>
          <t>WACC = 12.6%</t>
        </is>
      </c>
      <c r="B75" s="25" t="n">
        <v>0.126</v>
      </c>
      <c r="C75" s="48" t="n">
        <v>124.85</v>
      </c>
      <c r="D75" s="48" t="n">
        <v>141.49</v>
      </c>
      <c r="E75" s="48" t="n">
        <v>166.46</v>
      </c>
      <c r="F75" s="48" t="n">
        <v>191.43</v>
      </c>
      <c r="G75" s="48" t="n">
        <v>208.08</v>
      </c>
    </row>
    <row r="76">
      <c r="A76" s="27" t="inlineStr">
        <is>
          <t>WACC = 13.6%</t>
        </is>
      </c>
      <c r="B76" s="25" t="n">
        <v>0.136</v>
      </c>
      <c r="C76" s="48" t="n">
        <v>119.45</v>
      </c>
      <c r="D76" s="48" t="n">
        <v>135.38</v>
      </c>
      <c r="E76" s="48" t="n">
        <v>159.26</v>
      </c>
      <c r="F76" s="48" t="n">
        <v>183.15</v>
      </c>
      <c r="G76" s="48" t="n">
        <v>199.08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M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2" customWidth="1" min="3" max="3"/>
    <col width="34" customWidth="1" min="4" max="4"/>
  </cols>
  <sheetData>
    <row r="1" ht="22" customHeight="1">
      <c r="A1" s="4" t="inlineStr">
        <is>
          <t>WACC CALCULATION — APPLE INC.</t>
        </is>
      </c>
    </row>
    <row r="2">
      <c r="A2" s="14" t="inlineStr">
        <is>
          <t>WACC = (E/V)×Re + (D/V)×Rd×(1-T)</t>
        </is>
      </c>
    </row>
    <row r="3" ht="16" customHeight="1">
      <c r="A3" s="15" t="inlineStr">
        <is>
          <t>Component</t>
        </is>
      </c>
      <c r="B3" s="15" t="inlineStr">
        <is>
          <t>Value</t>
        </is>
      </c>
      <c r="C3" s="15" t="inlineStr">
        <is>
          <t>Formula / Source</t>
        </is>
      </c>
      <c r="D3" s="15" t="inlineStr">
        <is>
          <t>Notes</t>
        </is>
      </c>
    </row>
    <row r="4" ht="15" customHeight="1">
      <c r="A4" s="16" t="inlineStr">
        <is>
          <t xml:space="preserve">  CAPITAL STRUCTURE (Market Value Weights)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A5" s="32" t="inlineStr">
        <is>
          <t>Market Cap / Equity Value ($M)</t>
        </is>
      </c>
      <c r="B5" s="42" t="n">
        <v>4532958.920704</v>
      </c>
      <c r="C5" s="51" t="inlineStr">
        <is>
          <t>Share price × diluted shares</t>
        </is>
      </c>
      <c r="D5" s="22" t="inlineStr">
        <is>
          <t>Use market value, not book value</t>
        </is>
      </c>
    </row>
    <row r="6">
      <c r="A6" s="32" t="inlineStr">
        <is>
          <t>Total Debt ($M)</t>
        </is>
      </c>
      <c r="B6" s="42" t="n">
        <v>84710.998016</v>
      </c>
      <c r="C6" s="51" t="inlineStr">
        <is>
          <t>ST + LT debt from Balance Sheet</t>
        </is>
      </c>
      <c r="D6" s="22" t="inlineStr">
        <is>
          <t>Source: Yahoo Finance</t>
        </is>
      </c>
    </row>
    <row r="7">
      <c r="A7" s="27" t="inlineStr">
        <is>
          <t>Total Capital (V = E + D)</t>
        </is>
      </c>
      <c r="B7" s="21">
        <f>B5+B6</f>
        <v/>
      </c>
    </row>
    <row r="8">
      <c r="A8" s="32" t="inlineStr">
        <is>
          <t>Equity Weight (E/V)</t>
        </is>
      </c>
      <c r="B8" s="25">
        <f>B5/B7</f>
        <v/>
      </c>
    </row>
    <row r="9">
      <c r="A9" s="32" t="inlineStr">
        <is>
          <t>Debt Weight (D/V)</t>
        </is>
      </c>
      <c r="B9" s="25">
        <f>B6/B7</f>
        <v/>
      </c>
    </row>
    <row r="11" ht="15" customHeight="1">
      <c r="A11" s="16" t="inlineStr">
        <is>
          <t xml:space="preserve">  COST OF EQUITY — CAPM: Re = Rf + β × (Rm-Rf)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23" t="inlineStr">
        <is>
          <t>Risk-Free Rate (Rf)</t>
        </is>
      </c>
      <c r="B12" s="52" t="n">
        <v>0.045</v>
      </c>
      <c r="C12" s="51" t="inlineStr">
        <is>
          <t>10-year US Treasury yield</t>
        </is>
      </c>
    </row>
    <row r="13">
      <c r="A13" s="23" t="inlineStr">
        <is>
          <t>Equity Risk Premium (ERP)</t>
        </is>
      </c>
      <c r="B13" s="52" t="n">
        <v>0.055</v>
      </c>
      <c r="C13" s="51" t="inlineStr">
        <is>
          <t>Damodaran implied ERP</t>
        </is>
      </c>
    </row>
    <row r="14">
      <c r="A14" s="23" t="inlineStr">
        <is>
          <t>Beta (Blume-Adjusted, Levered β)</t>
        </is>
      </c>
      <c r="B14" s="53" t="n">
        <v>1.1172</v>
      </c>
      <c r="C14" s="51" t="inlineStr">
        <is>
          <t>Blume adj: ⅔×1.1759 + ⅓×1.0 = 1.1172  |  Raw OLS derived: 1.1759</t>
        </is>
      </c>
    </row>
    <row r="15">
      <c r="A15" s="27" t="inlineStr">
        <is>
          <t>Cost of Equity (Re)</t>
        </is>
      </c>
      <c r="B15" s="54">
        <f>B12+B14*B13</f>
        <v/>
      </c>
    </row>
    <row r="17" ht="15" customHeight="1">
      <c r="A17" s="16" t="inlineStr">
        <is>
          <t xml:space="preserve">  COST OF DEBT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23" t="inlineStr">
        <is>
          <t>Pre-Tax Cost of Debt (Rd)</t>
        </is>
      </c>
      <c r="B18" s="52" t="n">
        <v>0.05</v>
      </c>
      <c r="C18" s="51" t="inlineStr">
        <is>
          <t>Yield on outstanding bonds</t>
        </is>
      </c>
    </row>
    <row r="19">
      <c r="A19" s="23" t="inlineStr">
        <is>
          <t>Tax Rate</t>
        </is>
      </c>
      <c r="B19" s="52" t="n">
        <v>0.21</v>
      </c>
      <c r="C19" s="51" t="inlineStr">
        <is>
          <t>Effective tax rate — Source: Yahoo Finance</t>
        </is>
      </c>
    </row>
    <row r="20">
      <c r="A20" s="32" t="inlineStr">
        <is>
          <t>After-Tax Cost of Debt = Rd × (1-T)</t>
        </is>
      </c>
      <c r="B20" s="25">
        <f>B18*(1-B19)</f>
        <v/>
      </c>
    </row>
    <row r="22" ht="15" customHeight="1">
      <c r="A22" s="16" t="inlineStr">
        <is>
          <t xml:space="preserve">  WACC CALCULATION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32" t="inlineStr">
        <is>
          <t>Equity Component: (E/V) × Re</t>
        </is>
      </c>
      <c r="B23" s="25">
        <f>B8*B15</f>
        <v/>
      </c>
    </row>
    <row r="24">
      <c r="A24" s="32" t="inlineStr">
        <is>
          <t>Debt Component: (D/V) × Rd × (1-T)</t>
        </is>
      </c>
      <c r="B24" s="25">
        <f>B9*B20</f>
        <v/>
      </c>
    </row>
    <row r="25">
      <c r="A25" s="30" t="inlineStr">
        <is>
          <t>WACC = (E/V)×Re + (D/V)×Rd×(1-T)</t>
        </is>
      </c>
      <c r="B25" s="54">
        <f>B23+B24</f>
        <v/>
      </c>
      <c r="D25" s="31" t="inlineStr">
        <is>
          <t>Links to DCF Model assumptions</t>
        </is>
      </c>
    </row>
    <row r="27" ht="22" customHeight="1">
      <c r="A27" s="13" t="inlineStr">
        <is>
          <t>BETA DERIVATION — STEP-BY-STEP (OLS Regression, 5Y Weekly vs S&amp;P 500)</t>
        </is>
      </c>
    </row>
    <row r="28" ht="16" customHeight="1">
      <c r="A28" s="15" t="inlineStr">
        <is>
          <t>Step</t>
        </is>
      </c>
      <c r="B28" s="15" t="inlineStr">
        <is>
          <t>Value</t>
        </is>
      </c>
      <c r="C28" s="15" t="inlineStr">
        <is>
          <t>Formula / Source</t>
        </is>
      </c>
      <c r="D28" s="15" t="inlineStr">
        <is>
          <t>Notes</t>
        </is>
      </c>
    </row>
    <row r="29" ht="15" customHeight="1">
      <c r="A29" s="16" t="inlineStr">
        <is>
          <t xml:space="preserve">  SETUP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32" t="inlineStr">
        <is>
          <t>Regression Period</t>
        </is>
      </c>
      <c r="B30" s="55" t="inlineStr">
        <is>
          <t>5 Years</t>
        </is>
      </c>
      <c r="C30" s="32" t="inlineStr">
        <is>
          <t>5Y weekly (Fri-to-Fri) price returns</t>
        </is>
      </c>
      <c r="D30" s="22" t="inlineStr">
        <is>
          <t>5Y window balances recency vs statistical robustness</t>
        </is>
      </c>
    </row>
    <row r="31">
      <c r="A31" s="32" t="inlineStr">
        <is>
          <t>Benchmark</t>
        </is>
      </c>
      <c r="B31" s="55" t="inlineStr">
        <is>
          <t>S&amp;P 500 (^GSPC)</t>
        </is>
      </c>
      <c r="C31" s="32" t="inlineStr">
        <is>
          <t>Standard US equity market proxy</t>
        </is>
      </c>
      <c r="D31" s="22" t="inlineStr">
        <is>
          <t>Used as the market portfolio in CAPM</t>
        </is>
      </c>
    </row>
    <row r="32">
      <c r="A32" s="32" t="inlineStr">
        <is>
          <t>Observations (N)</t>
        </is>
      </c>
      <c r="B32" s="56" t="n">
        <v>261</v>
      </c>
      <c r="C32" s="32" t="inlineStr">
        <is>
          <t>Weekly return pairs aligned on common trading dates</t>
        </is>
      </c>
    </row>
    <row r="34" ht="15" customHeight="1">
      <c r="A34" s="16" t="inlineStr">
        <is>
          <t xml:space="preserve">  STEP 1 — RETURN STATISTICS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32" t="inlineStr">
        <is>
          <t>Avg weekly return — Stock</t>
        </is>
      </c>
      <c r="B35" s="57" t="n">
        <v>0.003847</v>
      </c>
      <c r="C35" s="32" t="inlineStr">
        <is>
          <t>Mean of 261 weekly returns</t>
        </is>
      </c>
      <c r="D35" s="22" t="inlineStr">
        <is>
          <t>Simple arithmetic mean of weekly percentage returns</t>
        </is>
      </c>
    </row>
    <row r="36">
      <c r="A36" s="32" t="inlineStr">
        <is>
          <t>Avg weekly return — S&amp;P 500</t>
        </is>
      </c>
      <c r="B36" s="57" t="n">
        <v>0.00233</v>
      </c>
      <c r="C36" s="32" t="inlineStr">
        <is>
          <t>Mean of 261 weekly S&amp;P 500 returns</t>
        </is>
      </c>
    </row>
    <row r="37">
      <c r="A37" s="32" t="inlineStr">
        <is>
          <t>Std dev — Stock weekly returns</t>
        </is>
      </c>
      <c r="B37" s="57" t="n">
        <v>0.03786</v>
      </c>
      <c r="C37" s="32" t="inlineStr">
        <is>
          <t>σ_stock = 3.7860%</t>
        </is>
      </c>
      <c r="D37" s="22" t="inlineStr">
        <is>
          <t>Measures total volatility of the stock's weekly returns</t>
        </is>
      </c>
    </row>
    <row r="38">
      <c r="A38" s="32" t="inlineStr">
        <is>
          <t>Std dev — S&amp;P 500 weekly returns</t>
        </is>
      </c>
      <c r="B38" s="57" t="n">
        <v>0.022476</v>
      </c>
      <c r="C38" s="32" t="inlineStr">
        <is>
          <t>σ_mkt = 2.2476%</t>
        </is>
      </c>
      <c r="D38" s="22" t="inlineStr">
        <is>
          <t>Measures total volatility of the market's weekly returns</t>
        </is>
      </c>
    </row>
    <row r="40" ht="15" customHeight="1">
      <c r="A40" s="16" t="inlineStr">
        <is>
          <t xml:space="preserve">  STEP 2 — COVARIANCE &amp; VARIANCE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27" t="inlineStr">
        <is>
          <t>Cov(Stock, S&amp;P 500)</t>
        </is>
      </c>
      <c r="B41" s="58" t="n">
        <v>0.0005940299999999999</v>
      </c>
      <c r="C41" s="32" t="inlineStr">
        <is>
          <t>Cov = E[(r_stock − μ_stock)(r_mkt − μ_mkt)]</t>
        </is>
      </c>
      <c r="D41" s="22" t="inlineStr">
        <is>
          <t>How much stock &amp; market returns move together; higher = more correlated</t>
        </is>
      </c>
    </row>
    <row r="42">
      <c r="A42" s="27" t="inlineStr">
        <is>
          <t>Var(S&amp;P 500)</t>
        </is>
      </c>
      <c r="B42" s="58" t="n">
        <v>0.00050518</v>
      </c>
      <c r="C42" s="32" t="inlineStr">
        <is>
          <t>Var = E[(r_mkt − μ_mkt)²]  =  σ_mkt²</t>
        </is>
      </c>
      <c r="D42" s="22" t="inlineStr">
        <is>
          <t>Market's own return variance; normalises the covariance to give beta</t>
        </is>
      </c>
    </row>
    <row r="44" ht="15" customHeight="1">
      <c r="A44" s="16" t="inlineStr">
        <is>
          <t xml:space="preserve">  STEP 3 — RAW BETA = Cov / Var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27" t="inlineStr">
        <is>
          <t>Raw Beta (OLS slope)</t>
        </is>
      </c>
      <c r="B45" s="59" t="n">
        <v>1.1759</v>
      </c>
      <c r="C45" s="32">
        <f> 0.00059403 / 0.00050518</f>
        <v/>
      </c>
      <c r="D45" s="22" t="inlineStr">
        <is>
          <t>OLS regression slope; how much the stock moves per 1% market move</t>
        </is>
      </c>
    </row>
    <row r="46">
      <c r="A46" s="32" t="inlineStr">
        <is>
          <t>R-Squared (R²)</t>
        </is>
      </c>
      <c r="B46" s="60" t="n">
        <v>0.4873</v>
      </c>
      <c r="C46" s="32" t="inlineStr">
        <is>
          <t>R² = Corr(r_stock, r_mkt)²</t>
        </is>
      </c>
      <c r="D46" s="22" t="inlineStr">
        <is>
          <t>% of stock return variance explained by market; remainder is idiosyncratic risk</t>
        </is>
      </c>
    </row>
    <row r="48" ht="15" customHeight="1">
      <c r="A48" s="16" t="inlineStr">
        <is>
          <t xml:space="preserve">  STEP 4 — BLUME ADJUSTMENT = ⅔ × Raw Beta + ⅓ × 1.0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32" t="inlineStr">
        <is>
          <t>⅔ × Raw Beta</t>
        </is>
      </c>
      <c r="B49" s="60" t="n">
        <v>0.7839</v>
      </c>
      <c r="C49" s="32">
        <f> ⅔ × 1.1759 = 0.7839</f>
        <v/>
      </c>
    </row>
    <row r="50">
      <c r="A50" s="32" t="inlineStr">
        <is>
          <t>⅓ × 1.0 (mean-reversion anchor)</t>
        </is>
      </c>
      <c r="B50" s="60" t="n">
        <v>0.3333</v>
      </c>
      <c r="C50" s="32">
        <f> ⅓ × 1.0 = 0.3333</f>
        <v/>
      </c>
      <c r="D50" s="22" t="inlineStr">
        <is>
          <t>Blume (1975): raw betas revert toward 1.0 over time</t>
        </is>
      </c>
    </row>
    <row r="51">
      <c r="A51" s="27" t="inlineStr">
        <is>
          <t>Adjusted Beta → used in CAPM above</t>
        </is>
      </c>
      <c r="B51" s="61" t="n">
        <v>1.1172</v>
      </c>
      <c r="C51" s="32">
        <f> 0.7839 + 0.3333 = 1.1172</f>
        <v/>
      </c>
      <c r="D51" s="31" t="inlineStr">
        <is>
          <t>This value is the Beta input in the CAPM section above</t>
        </is>
      </c>
    </row>
    <row r="52">
      <c r="A52" s="29" t="inlineStr">
        <is>
          <t>Yahoo Finance Beta (reference only)</t>
        </is>
      </c>
      <c r="B52" s="62" t="n">
        <v>1.086</v>
      </c>
      <c r="C52" s="32" t="inlineStr">
        <is>
          <t>YF uses 5Y monthly returns vs S&amp;P 500 — slightly different methodology</t>
        </is>
      </c>
      <c r="D52" s="22" t="inlineStr">
        <is>
          <t>Shown for comparison only; OLS-derived beta used in this model</t>
        </is>
      </c>
    </row>
  </sheetData>
  <mergeCells count="2">
    <mergeCell ref="A27:H2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5345"/>
    <outlinePr summaryBelow="1" summaryRight="1"/>
    <pageSetUpPr/>
  </sheetPr>
  <dimension ref="A1:M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1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2" customHeight="1">
      <c r="A1" s="4" t="inlineStr">
        <is>
          <t>TRADING COMPARABLES — APPLE INC.</t>
        </is>
      </c>
    </row>
    <row r="2">
      <c r="A2" s="14" t="inlineStr">
        <is>
          <t>Figures in $M | Prices approximate</t>
        </is>
      </c>
    </row>
    <row r="3" ht="16" customHeight="1">
      <c r="A3" s="15" t="inlineStr">
        <is>
          <t>Company</t>
        </is>
      </c>
      <c r="B3" s="15" t="inlineStr">
        <is>
          <t>Ticker</t>
        </is>
      </c>
      <c r="C3" s="15" t="inlineStr">
        <is>
          <t>Mkt Cap</t>
        </is>
      </c>
      <c r="D3" s="15" t="inlineStr">
        <is>
          <t>+ Debt</t>
        </is>
      </c>
      <c r="E3" s="15" t="inlineStr">
        <is>
          <t>– Cash</t>
        </is>
      </c>
      <c r="F3" s="15" t="inlineStr">
        <is>
          <t>Ent. Value</t>
        </is>
      </c>
      <c r="G3" s="15" t="inlineStr">
        <is>
          <t>Revenue</t>
        </is>
      </c>
      <c r="H3" s="15" t="inlineStr">
        <is>
          <t>EBITDA</t>
        </is>
      </c>
      <c r="I3" s="15" t="inlineStr">
        <is>
          <t>EV/Rev</t>
        </is>
      </c>
      <c r="J3" s="15" t="inlineStr">
        <is>
          <t>EV/EBITDA</t>
        </is>
      </c>
      <c r="K3" s="15" t="inlineStr">
        <is>
          <t>P/E</t>
        </is>
      </c>
      <c r="L3" s="15" t="inlineStr">
        <is>
          <t>Notes</t>
        </is>
      </c>
    </row>
    <row r="4">
      <c r="A4" s="63" t="inlineStr">
        <is>
          <t>Apple Inc.</t>
        </is>
      </c>
      <c r="B4" s="63" t="inlineStr">
        <is>
          <t>AAPL</t>
        </is>
      </c>
      <c r="C4" s="64" t="n">
        <v>4532958.920704</v>
      </c>
      <c r="D4" s="64" t="n">
        <v>84710.998016</v>
      </c>
      <c r="E4" s="64" t="n">
        <v>-68507.00083200001</v>
      </c>
      <c r="F4" s="64" t="n">
        <v>4549162.917888</v>
      </c>
      <c r="G4" s="64" t="n">
        <v>451442.016256</v>
      </c>
      <c r="H4" s="64" t="n">
        <v>159975.99744</v>
      </c>
      <c r="I4" s="65">
        <f>F4/G4</f>
        <v/>
      </c>
      <c r="J4" s="65">
        <f>F4/H4</f>
        <v/>
      </c>
      <c r="K4" s="65" t="n">
        <v>37.319225</v>
      </c>
      <c r="M4" s="22" t="inlineStr">
        <is>
          <t>Subject company</t>
        </is>
      </c>
    </row>
    <row r="5">
      <c r="A5" s="32" t="inlineStr">
        <is>
          <t>Microsoft Corp.</t>
        </is>
      </c>
      <c r="B5" s="32" t="inlineStr">
        <is>
          <t>MSFT</t>
        </is>
      </c>
      <c r="C5" s="66" t="n">
        <v>2900729.53</v>
      </c>
      <c r="D5" s="66" t="n">
        <v>125432</v>
      </c>
      <c r="E5" s="66" t="n">
        <v>-78228</v>
      </c>
      <c r="F5" s="66" t="n">
        <v>2947933.53</v>
      </c>
      <c r="G5" s="66" t="n">
        <v>318273</v>
      </c>
      <c r="H5" s="66" t="n">
        <v>184457</v>
      </c>
      <c r="I5" s="34">
        <f>F5/G5</f>
        <v/>
      </c>
      <c r="J5" s="34">
        <f>F5/H5</f>
        <v/>
      </c>
      <c r="K5" s="34" t="n">
        <v>23.26</v>
      </c>
      <c r="M5" s="22" t="inlineStr">
        <is>
          <t>Source: Yahoo Finance</t>
        </is>
      </c>
    </row>
    <row r="6">
      <c r="A6" s="32" t="inlineStr">
        <is>
          <t>Alphabet Inc.</t>
        </is>
      </c>
      <c r="B6" s="32" t="inlineStr">
        <is>
          <t>GOOGL</t>
        </is>
      </c>
      <c r="C6" s="66" t="n">
        <v>4391827.93</v>
      </c>
      <c r="D6" s="66" t="n">
        <v>95876</v>
      </c>
      <c r="E6" s="66" t="n">
        <v>-126840</v>
      </c>
      <c r="F6" s="66" t="n">
        <v>4360863.93</v>
      </c>
      <c r="G6" s="66" t="n">
        <v>422498.01</v>
      </c>
      <c r="H6" s="66" t="n">
        <v>161316</v>
      </c>
      <c r="I6" s="34">
        <f>F6/G6</f>
        <v/>
      </c>
      <c r="J6" s="34">
        <f>F6/H6</f>
        <v/>
      </c>
      <c r="K6" s="34" t="n">
        <v>27.47</v>
      </c>
      <c r="M6" s="22" t="inlineStr">
        <is>
          <t>Source: Yahoo Finance</t>
        </is>
      </c>
    </row>
    <row r="7">
      <c r="A7" s="32" t="inlineStr">
        <is>
          <t>Meta Platforms</t>
        </is>
      </c>
      <c r="B7" s="32" t="inlineStr">
        <is>
          <t>META</t>
        </is>
      </c>
      <c r="C7" s="66" t="n">
        <v>1479647.04</v>
      </c>
      <c r="D7" s="66" t="n">
        <v>86769</v>
      </c>
      <c r="E7" s="66" t="n">
        <v>-81180</v>
      </c>
      <c r="F7" s="66" t="n">
        <v>1485236.04</v>
      </c>
      <c r="G7" s="66" t="n">
        <v>214963</v>
      </c>
      <c r="H7" s="66" t="n">
        <v>109308</v>
      </c>
      <c r="I7" s="34">
        <f>F7/G7</f>
        <v/>
      </c>
      <c r="J7" s="34">
        <f>F7/H7</f>
        <v/>
      </c>
      <c r="K7" s="34" t="n">
        <v>21.18</v>
      </c>
      <c r="M7" s="22" t="inlineStr">
        <is>
          <t>Source: Yahoo Finance</t>
        </is>
      </c>
    </row>
    <row r="8">
      <c r="A8" s="32" t="inlineStr">
        <is>
          <t>Amazon.com</t>
        </is>
      </c>
      <c r="B8" s="32" t="inlineStr">
        <is>
          <t>AMZN</t>
        </is>
      </c>
      <c r="C8" s="66" t="n">
        <v>2610427.85</v>
      </c>
      <c r="D8" s="66" t="n">
        <v>235540</v>
      </c>
      <c r="E8" s="66" t="n">
        <v>-143088.99</v>
      </c>
      <c r="F8" s="66" t="n">
        <v>2702878.87</v>
      </c>
      <c r="G8" s="66" t="n">
        <v>742775.98</v>
      </c>
      <c r="H8" s="66" t="n">
        <v>155860.99</v>
      </c>
      <c r="I8" s="34">
        <f>F8/G8</f>
        <v/>
      </c>
      <c r="J8" s="34">
        <f>F8/H8</f>
        <v/>
      </c>
      <c r="K8" s="34" t="n">
        <v>31.76</v>
      </c>
      <c r="M8" s="22" t="inlineStr">
        <is>
          <t>Source: Yahoo Finance</t>
        </is>
      </c>
    </row>
    <row r="9">
      <c r="A9" s="32" t="inlineStr">
        <is>
          <t>NVIDIA Corp.</t>
        </is>
      </c>
      <c r="B9" s="32" t="inlineStr">
        <is>
          <t>NVDA</t>
        </is>
      </c>
      <c r="C9" s="66" t="n">
        <v>4718977.35</v>
      </c>
      <c r="D9" s="66" t="n">
        <v>12814</v>
      </c>
      <c r="E9" s="66" t="n">
        <v>-53172</v>
      </c>
      <c r="F9" s="66" t="n">
        <v>4678619.35</v>
      </c>
      <c r="G9" s="66" t="n">
        <v>253491</v>
      </c>
      <c r="H9" s="66" t="n">
        <v>165514</v>
      </c>
      <c r="I9" s="34">
        <f>F9/G9</f>
        <v/>
      </c>
      <c r="J9" s="34">
        <f>F9/H9</f>
        <v/>
      </c>
      <c r="K9" s="34" t="n">
        <v>29.88</v>
      </c>
      <c r="M9" s="22" t="inlineStr">
        <is>
          <t>Source: Yahoo Finance</t>
        </is>
      </c>
    </row>
    <row r="11">
      <c r="A11" s="67" t="inlineStr">
        <is>
          <t>Peer Mean</t>
        </is>
      </c>
      <c r="I11" s="59">
        <f>AVERAGE(I5:I9)</f>
        <v/>
      </c>
      <c r="J11" s="59">
        <f>AVERAGE(J5:J9)</f>
        <v/>
      </c>
      <c r="K11" s="59">
        <f>AVERAGE(K5:K9)</f>
        <v/>
      </c>
    </row>
    <row r="12">
      <c r="A12" s="67" t="inlineStr">
        <is>
          <t>Peer Median</t>
        </is>
      </c>
      <c r="I12" s="59">
        <f>MEDIAN(I5:I9)</f>
        <v/>
      </c>
      <c r="J12" s="59">
        <f>MEDIAN(J5:J9)</f>
        <v/>
      </c>
      <c r="K12" s="59">
        <f>MEDIAN(K5:K9)</f>
        <v/>
      </c>
    </row>
    <row r="14" ht="22" customHeight="1">
      <c r="A14" s="13" t="inlineStr">
        <is>
          <t>IMPLIED VALUATION (applying peer median multiples to subject)</t>
        </is>
      </c>
    </row>
    <row r="15">
      <c r="A15" s="32" t="inlineStr">
        <is>
          <t>Implied EV (Peer Median EV/EBITDA × Subject EBITDA)</t>
        </is>
      </c>
      <c r="B15" s="33">
        <f>J12*H4</f>
        <v/>
      </c>
    </row>
    <row r="16">
      <c r="A16" s="32" t="inlineStr">
        <is>
          <t>Bridge: – Debt + Cash</t>
        </is>
      </c>
      <c r="B16" s="26">
        <f>B15-D4+E4</f>
        <v/>
      </c>
    </row>
    <row r="17">
      <c r="A17" s="23" t="inlineStr">
        <is>
          <t>Diluted Shares (M)</t>
        </is>
      </c>
      <c r="B17" s="60" t="n">
        <v>14687.356</v>
      </c>
    </row>
    <row r="18">
      <c r="A18" s="27" t="inlineStr">
        <is>
          <t>Implied Share Price (Comps-based)</t>
        </is>
      </c>
      <c r="B18" s="46">
        <f>B16/B17</f>
        <v/>
      </c>
    </row>
  </sheetData>
  <mergeCells count="2">
    <mergeCell ref="A14:M14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D6608"/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20" customWidth="1" min="5" max="5"/>
    <col width="14" customWidth="1" min="6" max="6"/>
    <col width="10" customWidth="1" min="7" max="7"/>
    <col width="34" customWidth="1" min="8" max="8"/>
  </cols>
  <sheetData>
    <row r="1" ht="22" customHeight="1">
      <c r="A1" s="4" t="inlineStr">
        <is>
          <t>VALUATION SUMMARY — FOOTBALL FIELD  |  APPLE INC.</t>
        </is>
      </c>
    </row>
    <row r="2">
      <c r="A2" s="14" t="inlineStr">
        <is>
          <t>Implied Share Price Ranges Across Methodologies</t>
        </is>
      </c>
    </row>
    <row r="3" ht="16" customHeight="1">
      <c r="A3" s="15" t="inlineStr">
        <is>
          <t>Methodology</t>
        </is>
      </c>
      <c r="B3" s="15" t="inlineStr">
        <is>
          <t>Low</t>
        </is>
      </c>
      <c r="C3" s="15" t="inlineStr">
        <is>
          <t>Base Case</t>
        </is>
      </c>
      <c r="D3" s="15" t="inlineStr">
        <is>
          <t>High</t>
        </is>
      </c>
      <c r="E3" s="15" t="inlineStr">
        <is>
          <t>Metric</t>
        </is>
      </c>
      <c r="F3" s="15" t="inlineStr">
        <is>
          <t>Weight</t>
        </is>
      </c>
      <c r="G3" s="15" t="inlineStr">
        <is>
          <t>Notes</t>
        </is>
      </c>
    </row>
    <row r="4">
      <c r="A4" s="27" t="inlineStr">
        <is>
          <t>52-Week Trading Range</t>
        </is>
      </c>
      <c r="B4" s="68" t="n">
        <v>201.5</v>
      </c>
      <c r="C4" s="46" t="n">
        <v>308.63</v>
      </c>
      <c r="D4" s="68" t="n">
        <v>317.4</v>
      </c>
      <c r="E4" s="32" t="inlineStr">
        <is>
          <t>Share price</t>
        </is>
      </c>
      <c r="F4" s="69" t="n">
        <v>0</v>
      </c>
      <c r="G4" s="22" t="inlineStr">
        <is>
          <t>Market anchor — not intrinsic value</t>
        </is>
      </c>
    </row>
    <row r="5">
      <c r="A5" s="27" t="inlineStr">
        <is>
          <t>DCF — Base Case</t>
        </is>
      </c>
      <c r="B5" s="68" t="n">
        <v>262.3355</v>
      </c>
      <c r="C5" s="46" t="n">
        <v>320.9752</v>
      </c>
      <c r="D5" s="68" t="n">
        <v>385.7875</v>
      </c>
      <c r="E5" s="32" t="inlineStr">
        <is>
          <t>UFCF + TV</t>
        </is>
      </c>
      <c r="F5" s="69" t="n">
        <v>0.35</v>
      </c>
      <c r="G5" s="22" t="inlineStr">
        <is>
          <t>WACC &amp; terminal growth assumptions — see DCF sheet</t>
        </is>
      </c>
    </row>
    <row r="6">
      <c r="A6" s="27" t="inlineStr">
        <is>
          <t>Trading Comps — EV/EBITDA</t>
        </is>
      </c>
      <c r="B6" s="68" t="n">
        <v>277.767</v>
      </c>
      <c r="C6" s="46" t="n">
        <v>308.63</v>
      </c>
      <c r="D6" s="68" t="n">
        <v>354.9245</v>
      </c>
      <c r="E6" s="32" t="inlineStr">
        <is>
          <t>LTM EBITDA</t>
        </is>
      </c>
      <c r="F6" s="69" t="n">
        <v>0.25</v>
      </c>
      <c r="G6" s="22" t="inlineStr">
        <is>
          <t>Peer median multiple applied to subject EBITDA</t>
        </is>
      </c>
    </row>
    <row r="7">
      <c r="A7" s="27" t="inlineStr">
        <is>
          <t>Trading Comps — P/E</t>
        </is>
      </c>
      <c r="B7" s="68" t="n">
        <v>283.9396</v>
      </c>
      <c r="C7" s="46" t="n">
        <v>320.9752</v>
      </c>
      <c r="D7" s="68" t="n">
        <v>364.1833999999999</v>
      </c>
      <c r="E7" s="32" t="inlineStr">
        <is>
          <t>LTM EPS</t>
        </is>
      </c>
      <c r="F7" s="69" t="n">
        <v>0.25</v>
      </c>
      <c r="G7" s="22" t="inlineStr">
        <is>
          <t>Peer P/E range applied to subject EPS</t>
        </is>
      </c>
    </row>
    <row r="8">
      <c r="A8" s="27" t="inlineStr">
        <is>
          <t>Precedent Transactions</t>
        </is>
      </c>
      <c r="B8" s="68" t="n">
        <v>324.0615</v>
      </c>
      <c r="C8" s="46" t="n">
        <v>370.356</v>
      </c>
      <c r="D8" s="68" t="n">
        <v>432.082</v>
      </c>
      <c r="E8" s="32" t="inlineStr">
        <is>
          <t>LTM EBITDA</t>
        </is>
      </c>
      <c r="F8" s="69" t="n">
        <v>0.15</v>
      </c>
      <c r="G8" s="22" t="inlineStr">
        <is>
          <t>Control premium ~25-35% vs. trading comps</t>
        </is>
      </c>
    </row>
    <row r="9">
      <c r="A9" s="27" t="inlineStr">
        <is>
          <t>Analyst Price Targets</t>
        </is>
      </c>
      <c r="B9" s="68" t="n">
        <v>215</v>
      </c>
      <c r="C9" s="46" t="n">
        <v>315.09048</v>
      </c>
      <c r="D9" s="68" t="n">
        <v>400</v>
      </c>
      <c r="E9" s="32" t="inlineStr">
        <is>
          <t>Consensus</t>
        </is>
      </c>
      <c r="F9" s="69" t="n">
        <v>0</v>
      </c>
      <c r="G9" s="22" t="inlineStr">
        <is>
          <t>Wall Street 12-month PT consensus</t>
        </is>
      </c>
    </row>
    <row r="11">
      <c r="A11" s="30" t="inlineStr">
        <is>
          <t>Weighted Average Implied Price</t>
        </is>
      </c>
      <c r="C11" s="70">
        <f>SUMPRODUCT(C4:C9,F4:F9)</f>
        <v/>
      </c>
      <c r="G11" s="31" t="inlineStr">
        <is>
          <t>SUMPRODUCT of Base Case × Weight; weights in col F must sum to 100%</t>
        </is>
      </c>
    </row>
    <row r="12">
      <c r="A12" s="30" t="inlineStr">
        <is>
          <t>Actual Market Price</t>
        </is>
      </c>
      <c r="C12" s="70" t="n">
        <v>308.63</v>
      </c>
      <c r="G12" s="22" t="inlineStr">
        <is>
          <t>Source: Yahoo Finance — AAPL close</t>
        </is>
      </c>
    </row>
    <row r="14" ht="22" customHeight="1">
      <c r="A14" s="13" t="inlineStr">
        <is>
          <t>METHODOLOGY COMPARISON</t>
        </is>
      </c>
    </row>
    <row r="15" ht="16" customHeight="1">
      <c r="A15" s="15" t="inlineStr">
        <is>
          <t>Method</t>
        </is>
      </c>
      <c r="B15" s="15" t="inlineStr">
        <is>
          <t>Pros</t>
        </is>
      </c>
      <c r="C15" s="15" t="inlineStr">
        <is>
          <t>Cons</t>
        </is>
      </c>
      <c r="D15" s="15" t="inlineStr">
        <is>
          <t>Best Use Case</t>
        </is>
      </c>
    </row>
    <row r="16">
      <c r="A16" s="27" t="inlineStr">
        <is>
          <t>DCF</t>
        </is>
      </c>
      <c r="B16" s="51" t="inlineStr">
        <is>
          <t>Intrinsic; captures unique characteristics</t>
        </is>
      </c>
      <c r="C16" s="51" t="inlineStr">
        <is>
          <t>Sensitive to WACC &amp; g; needs detailed forecasts</t>
        </is>
      </c>
      <c r="D16" s="51" t="inlineStr">
        <is>
          <t>Standalone; stable FCF companies</t>
        </is>
      </c>
    </row>
    <row r="17">
      <c r="A17" s="27" t="inlineStr">
        <is>
          <t>Trading Comps</t>
        </is>
      </c>
      <c r="B17" s="51" t="inlineStr">
        <is>
          <t>Live market sentiment; easy to update</t>
        </is>
      </c>
      <c r="C17" s="51" t="inlineStr">
        <is>
          <t>Market can misprice; peers may differ</t>
        </is>
      </c>
      <c r="D17" s="51" t="inlineStr">
        <is>
          <t>Quick benchmarking; IPO pricing</t>
        </is>
      </c>
    </row>
    <row r="18">
      <c r="A18" s="27" t="inlineStr">
        <is>
          <t>Precedent Transactions</t>
        </is>
      </c>
      <c r="B18" s="51" t="inlineStr">
        <is>
          <t>Includes control premium; real deal economics</t>
        </is>
      </c>
      <c r="C18" s="51" t="inlineStr">
        <is>
          <t>Historical; market conditions change</t>
        </is>
      </c>
      <c r="D18" s="51" t="inlineStr">
        <is>
          <t>M&amp;A advisory; fairness opinions</t>
        </is>
      </c>
    </row>
    <row r="19">
      <c r="A19" s="27" t="inlineStr">
        <is>
          <t>LBO Analysis</t>
        </is>
      </c>
      <c r="B19" s="51" t="inlineStr">
        <is>
          <t>Sets floor for PE buyers; leverage capacity</t>
        </is>
      </c>
      <c r="C19" s="51" t="inlineStr">
        <is>
          <t>Irrelevant for strategic buyers</t>
        </is>
      </c>
      <c r="D19" s="51" t="inlineStr">
        <is>
          <t>Sponsored / PE deals</t>
        </is>
      </c>
    </row>
    <row r="20">
      <c r="A20" s="27" t="inlineStr">
        <is>
          <t>Sum-of-Parts (SOTP)</t>
        </is>
      </c>
      <c r="B20" s="51" t="inlineStr">
        <is>
          <t>Values conglomerates properly by segment</t>
        </is>
      </c>
      <c r="C20" s="51" t="inlineStr">
        <is>
          <t>Complex; needs separate comps per segment</t>
        </is>
      </c>
      <c r="D20" s="51" t="inlineStr">
        <is>
          <t>Conglomerates; multi-segment cos</t>
        </is>
      </c>
    </row>
  </sheetData>
  <mergeCells count="2"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2026-07-03T03:00:27Z</dcterms:created>
  <dcterms:modified xmlns:dcterms="http://purl.org/dc/terms/" xmlns:xsi="http://www.w3.org/2001/XMLSchema-instance" xsi:type="dcterms:W3CDTF">2026-07-03T03:00:29Z</dcterms:modified>
</cp:coreProperties>
</file>